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R\Downloads\"/>
    </mc:Choice>
  </mc:AlternateContent>
  <xr:revisionPtr revIDLastSave="0" documentId="13_ncr:1_{66940B80-E054-424F-9288-7BBD793E5F8B}" xr6:coauthVersionLast="47" xr6:coauthVersionMax="47" xr10:uidLastSave="{00000000-0000-0000-0000-000000000000}"/>
  <bookViews>
    <workbookView xWindow="28680" yWindow="-120" windowWidth="29040" windowHeight="15840" tabRatio="948" firstSheet="4" activeTab="16" xr2:uid="{00000000-000D-0000-FFFF-FFFF00000000}"/>
  </bookViews>
  <sheets>
    <sheet name="Инструкция" sheetId="1" r:id="rId1"/>
    <sheet name="Продукт" sheetId="2" r:id="rId2"/>
    <sheet name="А1 Сырьё" sheetId="3" r:id="rId3"/>
    <sheet name="А2 Вспом материалы" sheetId="4" r:id="rId4"/>
    <sheet name="А3 Упаковка" sheetId="5" r:id="rId5"/>
    <sheet name="А4 Комплектующие" sheetId="6" r:id="rId6"/>
    <sheet name="А5 Энергоресурсы" sheetId="7" r:id="rId7"/>
    <sheet name="А6 Отходы" sheetId="8" r:id="rId8"/>
    <sheet name="Б1 Оборудование" sheetId="9" r:id="rId9"/>
    <sheet name="Б2 Оснастка" sheetId="10" r:id="rId10"/>
    <sheet name="Б3 Запчасти" sheetId="11" r:id="rId11"/>
    <sheet name="Б4 Расходники" sheetId="12" r:id="rId12"/>
    <sheet name="Б5 Материалы ТОиР" sheetId="13" r:id="rId13"/>
    <sheet name="Б6 СИЗ и санитария" sheetId="14" r:id="rId14"/>
    <sheet name="Б7 Услуги" sheetId="15" r:id="rId15"/>
    <sheet name="Б8 Прочее" sheetId="16" r:id="rId16"/>
    <sheet name="Сводка" sheetId="17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17" l="1"/>
  <c r="B5" i="17"/>
  <c r="B4" i="17"/>
  <c r="K33" i="16"/>
  <c r="J33" i="16"/>
  <c r="J32" i="16"/>
  <c r="K32" i="16" s="1"/>
  <c r="J31" i="16"/>
  <c r="K31" i="16" s="1"/>
  <c r="J30" i="16"/>
  <c r="K30" i="16" s="1"/>
  <c r="K29" i="16"/>
  <c r="J29" i="16"/>
  <c r="J27" i="16"/>
  <c r="K27" i="16" s="1"/>
  <c r="K26" i="16"/>
  <c r="J26" i="16"/>
  <c r="J25" i="16"/>
  <c r="K25" i="16" s="1"/>
  <c r="J24" i="16"/>
  <c r="K24" i="16" s="1"/>
  <c r="J23" i="16"/>
  <c r="K23" i="16" s="1"/>
  <c r="J22" i="16"/>
  <c r="K22" i="16" s="1"/>
  <c r="K20" i="16"/>
  <c r="J20" i="16"/>
  <c r="K19" i="16"/>
  <c r="J19" i="16"/>
  <c r="J18" i="16"/>
  <c r="K18" i="16" s="1"/>
  <c r="J17" i="16"/>
  <c r="K17" i="16" s="1"/>
  <c r="J16" i="16"/>
  <c r="K16" i="16" s="1"/>
  <c r="J15" i="16"/>
  <c r="K15" i="16" s="1"/>
  <c r="J14" i="16"/>
  <c r="K14" i="16" s="1"/>
  <c r="K12" i="16"/>
  <c r="J12" i="16"/>
  <c r="J11" i="16"/>
  <c r="K11" i="16" s="1"/>
  <c r="J10" i="16"/>
  <c r="K10" i="16" s="1"/>
  <c r="J9" i="16"/>
  <c r="K9" i="16" s="1"/>
  <c r="J8" i="16"/>
  <c r="K8" i="16" s="1"/>
  <c r="J7" i="16"/>
  <c r="J35" i="16" s="1"/>
  <c r="K6" i="16"/>
  <c r="J6" i="16"/>
  <c r="J73" i="15"/>
  <c r="K73" i="15" s="1"/>
  <c r="J72" i="15"/>
  <c r="K72" i="15" s="1"/>
  <c r="K71" i="15"/>
  <c r="J71" i="15"/>
  <c r="J70" i="15"/>
  <c r="K70" i="15" s="1"/>
  <c r="K69" i="15"/>
  <c r="J69" i="15"/>
  <c r="J67" i="15"/>
  <c r="K67" i="15" s="1"/>
  <c r="J66" i="15"/>
  <c r="K66" i="15" s="1"/>
  <c r="K65" i="15"/>
  <c r="J65" i="15"/>
  <c r="J64" i="15"/>
  <c r="K64" i="15" s="1"/>
  <c r="K63" i="15"/>
  <c r="J63" i="15"/>
  <c r="K62" i="15"/>
  <c r="J62" i="15"/>
  <c r="J61" i="15"/>
  <c r="K61" i="15" s="1"/>
  <c r="J60" i="15"/>
  <c r="K60" i="15" s="1"/>
  <c r="J58" i="15"/>
  <c r="K58" i="15" s="1"/>
  <c r="K57" i="15"/>
  <c r="J57" i="15"/>
  <c r="J56" i="15"/>
  <c r="K56" i="15" s="1"/>
  <c r="K55" i="15"/>
  <c r="J55" i="15"/>
  <c r="J54" i="15"/>
  <c r="K54" i="15" s="1"/>
  <c r="J53" i="15"/>
  <c r="K53" i="15" s="1"/>
  <c r="J52" i="15"/>
  <c r="K52" i="15" s="1"/>
  <c r="J51" i="15"/>
  <c r="K51" i="15" s="1"/>
  <c r="K49" i="15"/>
  <c r="J49" i="15"/>
  <c r="K48" i="15"/>
  <c r="J48" i="15"/>
  <c r="J47" i="15"/>
  <c r="K47" i="15" s="1"/>
  <c r="J46" i="15"/>
  <c r="K46" i="15" s="1"/>
  <c r="J45" i="15"/>
  <c r="K45" i="15" s="1"/>
  <c r="J44" i="15"/>
  <c r="K44" i="15" s="1"/>
  <c r="J43" i="15"/>
  <c r="K43" i="15" s="1"/>
  <c r="K42" i="15"/>
  <c r="J42" i="15"/>
  <c r="J40" i="15"/>
  <c r="K40" i="15" s="1"/>
  <c r="J39" i="15"/>
  <c r="K39" i="15" s="1"/>
  <c r="J38" i="15"/>
  <c r="K38" i="15" s="1"/>
  <c r="J37" i="15"/>
  <c r="K37" i="15" s="1"/>
  <c r="J36" i="15"/>
  <c r="K36" i="15" s="1"/>
  <c r="K35" i="15"/>
  <c r="J35" i="15"/>
  <c r="J34" i="15"/>
  <c r="K34" i="15" s="1"/>
  <c r="J33" i="15"/>
  <c r="K33" i="15" s="1"/>
  <c r="J32" i="15"/>
  <c r="K32" i="15" s="1"/>
  <c r="J30" i="15"/>
  <c r="K30" i="15" s="1"/>
  <c r="J29" i="15"/>
  <c r="K29" i="15" s="1"/>
  <c r="K28" i="15"/>
  <c r="J28" i="15"/>
  <c r="J27" i="15"/>
  <c r="K27" i="15" s="1"/>
  <c r="J26" i="15"/>
  <c r="K26" i="15" s="1"/>
  <c r="K25" i="15"/>
  <c r="J25" i="15"/>
  <c r="J24" i="15"/>
  <c r="K24" i="15" s="1"/>
  <c r="J22" i="15"/>
  <c r="K22" i="15" s="1"/>
  <c r="K21" i="15"/>
  <c r="J21" i="15"/>
  <c r="J20" i="15"/>
  <c r="K20" i="15" s="1"/>
  <c r="J19" i="15"/>
  <c r="K19" i="15" s="1"/>
  <c r="J18" i="15"/>
  <c r="K18" i="15" s="1"/>
  <c r="K17" i="15"/>
  <c r="J17" i="15"/>
  <c r="J16" i="15"/>
  <c r="K16" i="15" s="1"/>
  <c r="K15" i="15"/>
  <c r="J15" i="15"/>
  <c r="J13" i="15"/>
  <c r="K13" i="15" s="1"/>
  <c r="J12" i="15"/>
  <c r="K12" i="15" s="1"/>
  <c r="J11" i="15"/>
  <c r="K11" i="15" s="1"/>
  <c r="J10" i="15"/>
  <c r="K10" i="15" s="1"/>
  <c r="K9" i="15"/>
  <c r="J9" i="15"/>
  <c r="K8" i="15"/>
  <c r="J8" i="15"/>
  <c r="J7" i="15"/>
  <c r="K7" i="15" s="1"/>
  <c r="J6" i="15"/>
  <c r="J38" i="14"/>
  <c r="K38" i="14" s="1"/>
  <c r="J37" i="14"/>
  <c r="K37" i="14" s="1"/>
  <c r="K36" i="14"/>
  <c r="J36" i="14"/>
  <c r="J35" i="14"/>
  <c r="K35" i="14" s="1"/>
  <c r="J34" i="14"/>
  <c r="K34" i="14" s="1"/>
  <c r="J32" i="14"/>
  <c r="K32" i="14" s="1"/>
  <c r="J31" i="14"/>
  <c r="K31" i="14" s="1"/>
  <c r="J30" i="14"/>
  <c r="K30" i="14" s="1"/>
  <c r="K29" i="14"/>
  <c r="J29" i="14"/>
  <c r="J28" i="14"/>
  <c r="K28" i="14" s="1"/>
  <c r="J27" i="14"/>
  <c r="K27" i="14" s="1"/>
  <c r="J26" i="14"/>
  <c r="K26" i="14" s="1"/>
  <c r="J25" i="14"/>
  <c r="K25" i="14" s="1"/>
  <c r="J23" i="14"/>
  <c r="K23" i="14" s="1"/>
  <c r="K22" i="14"/>
  <c r="J22" i="14"/>
  <c r="J21" i="14"/>
  <c r="K21" i="14" s="1"/>
  <c r="J20" i="14"/>
  <c r="K20" i="14" s="1"/>
  <c r="K19" i="14"/>
  <c r="J19" i="14"/>
  <c r="J18" i="14"/>
  <c r="K18" i="14" s="1"/>
  <c r="J17" i="14"/>
  <c r="K17" i="14" s="1"/>
  <c r="K16" i="14"/>
  <c r="J16" i="14"/>
  <c r="J14" i="14"/>
  <c r="K14" i="14" s="1"/>
  <c r="J13" i="14"/>
  <c r="K13" i="14" s="1"/>
  <c r="J12" i="14"/>
  <c r="K12" i="14" s="1"/>
  <c r="K11" i="14"/>
  <c r="J11" i="14"/>
  <c r="J10" i="14"/>
  <c r="K10" i="14" s="1"/>
  <c r="K9" i="14"/>
  <c r="J9" i="14"/>
  <c r="J8" i="14"/>
  <c r="K8" i="14" s="1"/>
  <c r="J7" i="14"/>
  <c r="K7" i="14" s="1"/>
  <c r="J6" i="14"/>
  <c r="K6" i="14" s="1"/>
  <c r="K58" i="13"/>
  <c r="J58" i="13"/>
  <c r="K57" i="13"/>
  <c r="J57" i="13"/>
  <c r="J56" i="13"/>
  <c r="K56" i="13" s="1"/>
  <c r="J55" i="13"/>
  <c r="K55" i="13" s="1"/>
  <c r="J54" i="13"/>
  <c r="K54" i="13" s="1"/>
  <c r="J52" i="13"/>
  <c r="K52" i="13" s="1"/>
  <c r="J51" i="13"/>
  <c r="K51" i="13" s="1"/>
  <c r="K50" i="13"/>
  <c r="J50" i="13"/>
  <c r="J49" i="13"/>
  <c r="K49" i="13" s="1"/>
  <c r="J48" i="13"/>
  <c r="K48" i="13" s="1"/>
  <c r="J47" i="13"/>
  <c r="K47" i="13" s="1"/>
  <c r="J45" i="13"/>
  <c r="K45" i="13" s="1"/>
  <c r="J44" i="13"/>
  <c r="K44" i="13" s="1"/>
  <c r="K43" i="13"/>
  <c r="J43" i="13"/>
  <c r="J42" i="13"/>
  <c r="K42" i="13" s="1"/>
  <c r="J41" i="13"/>
  <c r="K41" i="13" s="1"/>
  <c r="J40" i="13"/>
  <c r="K40" i="13" s="1"/>
  <c r="J39" i="13"/>
  <c r="K39" i="13" s="1"/>
  <c r="J37" i="13"/>
  <c r="K37" i="13" s="1"/>
  <c r="K36" i="13"/>
  <c r="J36" i="13"/>
  <c r="J35" i="13"/>
  <c r="K35" i="13" s="1"/>
  <c r="J34" i="13"/>
  <c r="K34" i="13" s="1"/>
  <c r="K33" i="13"/>
  <c r="J33" i="13"/>
  <c r="J32" i="13"/>
  <c r="K32" i="13" s="1"/>
  <c r="J31" i="13"/>
  <c r="K31" i="13" s="1"/>
  <c r="K30" i="13"/>
  <c r="J30" i="13"/>
  <c r="J28" i="13"/>
  <c r="K28" i="13" s="1"/>
  <c r="J27" i="13"/>
  <c r="K27" i="13" s="1"/>
  <c r="J26" i="13"/>
  <c r="K26" i="13" s="1"/>
  <c r="K25" i="13"/>
  <c r="J25" i="13"/>
  <c r="J24" i="13"/>
  <c r="K24" i="13" s="1"/>
  <c r="K23" i="13"/>
  <c r="J23" i="13"/>
  <c r="J22" i="13"/>
  <c r="K22" i="13" s="1"/>
  <c r="J20" i="13"/>
  <c r="K20" i="13" s="1"/>
  <c r="J19" i="13"/>
  <c r="K19" i="13" s="1"/>
  <c r="J18" i="13"/>
  <c r="K18" i="13" s="1"/>
  <c r="K17" i="13"/>
  <c r="J17" i="13"/>
  <c r="K16" i="13"/>
  <c r="J16" i="13"/>
  <c r="J15" i="13"/>
  <c r="K15" i="13" s="1"/>
  <c r="J13" i="13"/>
  <c r="K13" i="13" s="1"/>
  <c r="J12" i="13"/>
  <c r="K12" i="13" s="1"/>
  <c r="J11" i="13"/>
  <c r="K11" i="13" s="1"/>
  <c r="J10" i="13"/>
  <c r="K10" i="13" s="1"/>
  <c r="K9" i="13"/>
  <c r="J9" i="13"/>
  <c r="J8" i="13"/>
  <c r="K8" i="13" s="1"/>
  <c r="J7" i="13"/>
  <c r="K7" i="13" s="1"/>
  <c r="J6" i="13"/>
  <c r="K6" i="13" s="1"/>
  <c r="J35" i="12"/>
  <c r="K35" i="12" s="1"/>
  <c r="K34" i="12"/>
  <c r="J34" i="12"/>
  <c r="J33" i="12"/>
  <c r="K33" i="12" s="1"/>
  <c r="J32" i="12"/>
  <c r="K32" i="12" s="1"/>
  <c r="J31" i="12"/>
  <c r="K31" i="12" s="1"/>
  <c r="J29" i="12"/>
  <c r="K29" i="12" s="1"/>
  <c r="J28" i="12"/>
  <c r="K28" i="12" s="1"/>
  <c r="K27" i="12"/>
  <c r="J27" i="12"/>
  <c r="J26" i="12"/>
  <c r="K26" i="12" s="1"/>
  <c r="J25" i="12"/>
  <c r="K25" i="12" s="1"/>
  <c r="K24" i="12"/>
  <c r="J24" i="12"/>
  <c r="J23" i="12"/>
  <c r="K23" i="12" s="1"/>
  <c r="J22" i="12"/>
  <c r="K22" i="12" s="1"/>
  <c r="K20" i="12"/>
  <c r="J20" i="12"/>
  <c r="J19" i="12"/>
  <c r="K19" i="12" s="1"/>
  <c r="J18" i="12"/>
  <c r="K18" i="12" s="1"/>
  <c r="J17" i="12"/>
  <c r="K17" i="12" s="1"/>
  <c r="K16" i="12"/>
  <c r="J16" i="12"/>
  <c r="J15" i="12"/>
  <c r="K15" i="12" s="1"/>
  <c r="K14" i="12"/>
  <c r="J14" i="12"/>
  <c r="J12" i="12"/>
  <c r="K12" i="12" s="1"/>
  <c r="J11" i="12"/>
  <c r="K11" i="12" s="1"/>
  <c r="J10" i="12"/>
  <c r="K10" i="12" s="1"/>
  <c r="J9" i="12"/>
  <c r="K9" i="12" s="1"/>
  <c r="K8" i="12"/>
  <c r="J8" i="12"/>
  <c r="K7" i="12"/>
  <c r="J7" i="12"/>
  <c r="J6" i="12"/>
  <c r="J36" i="11"/>
  <c r="K36" i="11" s="1"/>
  <c r="J35" i="11"/>
  <c r="K35" i="11" s="1"/>
  <c r="J34" i="11"/>
  <c r="K34" i="11" s="1"/>
  <c r="K33" i="11"/>
  <c r="J33" i="11"/>
  <c r="J32" i="11"/>
  <c r="K32" i="11" s="1"/>
  <c r="J30" i="11"/>
  <c r="K30" i="11" s="1"/>
  <c r="J29" i="11"/>
  <c r="K29" i="11" s="1"/>
  <c r="J28" i="11"/>
  <c r="K28" i="11" s="1"/>
  <c r="J27" i="11"/>
  <c r="K27" i="11" s="1"/>
  <c r="K26" i="11"/>
  <c r="J26" i="11"/>
  <c r="J25" i="11"/>
  <c r="K25" i="11" s="1"/>
  <c r="J24" i="11"/>
  <c r="K24" i="11" s="1"/>
  <c r="J22" i="11"/>
  <c r="K22" i="11" s="1"/>
  <c r="J21" i="11"/>
  <c r="K21" i="11" s="1"/>
  <c r="J20" i="11"/>
  <c r="K20" i="11" s="1"/>
  <c r="K19" i="11"/>
  <c r="J19" i="11"/>
  <c r="J18" i="11"/>
  <c r="K18" i="11" s="1"/>
  <c r="J17" i="11"/>
  <c r="K17" i="11" s="1"/>
  <c r="J16" i="11"/>
  <c r="K16" i="11" s="1"/>
  <c r="J15" i="11"/>
  <c r="K15" i="11" s="1"/>
  <c r="J13" i="11"/>
  <c r="K13" i="11" s="1"/>
  <c r="K12" i="11"/>
  <c r="J12" i="11"/>
  <c r="J11" i="11"/>
  <c r="K11" i="11" s="1"/>
  <c r="J10" i="11"/>
  <c r="K10" i="11" s="1"/>
  <c r="J9" i="11"/>
  <c r="K9" i="11" s="1"/>
  <c r="J8" i="11"/>
  <c r="K8" i="11" s="1"/>
  <c r="J7" i="11"/>
  <c r="K6" i="11"/>
  <c r="J6" i="11"/>
  <c r="K35" i="10"/>
  <c r="J35" i="10"/>
  <c r="K34" i="10"/>
  <c r="J34" i="10"/>
  <c r="K33" i="10"/>
  <c r="J33" i="10"/>
  <c r="K32" i="10"/>
  <c r="J32" i="10"/>
  <c r="K31" i="10"/>
  <c r="J31" i="10" s="1"/>
  <c r="K29" i="10"/>
  <c r="J29" i="10" s="1"/>
  <c r="K28" i="10"/>
  <c r="J28" i="10"/>
  <c r="K27" i="10"/>
  <c r="J27" i="10" s="1"/>
  <c r="K26" i="10"/>
  <c r="J26" i="10"/>
  <c r="K25" i="10"/>
  <c r="J25" i="10"/>
  <c r="K24" i="10"/>
  <c r="J24" i="10" s="1"/>
  <c r="K22" i="10"/>
  <c r="J22" i="10" s="1"/>
  <c r="K21" i="10"/>
  <c r="J21" i="10"/>
  <c r="K20" i="10"/>
  <c r="J20" i="10" s="1"/>
  <c r="K19" i="10"/>
  <c r="J19" i="10" s="1"/>
  <c r="K18" i="10"/>
  <c r="J18" i="10" s="1"/>
  <c r="K17" i="10"/>
  <c r="J17" i="10" s="1"/>
  <c r="K16" i="10"/>
  <c r="J16" i="10" s="1"/>
  <c r="K15" i="10"/>
  <c r="J15" i="10"/>
  <c r="K13" i="10"/>
  <c r="J13" i="10" s="1"/>
  <c r="K12" i="10"/>
  <c r="J12" i="10" s="1"/>
  <c r="K11" i="10"/>
  <c r="J11" i="10" s="1"/>
  <c r="K10" i="10"/>
  <c r="J10" i="10" s="1"/>
  <c r="K9" i="10"/>
  <c r="J9" i="10" s="1"/>
  <c r="K8" i="10"/>
  <c r="J8" i="10"/>
  <c r="K7" i="10"/>
  <c r="J7" i="10"/>
  <c r="K6" i="10"/>
  <c r="J6" i="10" s="1"/>
  <c r="K35" i="9"/>
  <c r="J35" i="9"/>
  <c r="K34" i="9"/>
  <c r="J34" i="9"/>
  <c r="J33" i="9"/>
  <c r="K33" i="9" s="1"/>
  <c r="J32" i="9"/>
  <c r="K32" i="9" s="1"/>
  <c r="K31" i="9"/>
  <c r="J31" i="9"/>
  <c r="K29" i="9"/>
  <c r="J29" i="9"/>
  <c r="K28" i="9"/>
  <c r="J28" i="9"/>
  <c r="K27" i="9"/>
  <c r="J27" i="9"/>
  <c r="J26" i="9"/>
  <c r="K26" i="9" s="1"/>
  <c r="J25" i="9"/>
  <c r="K25" i="9" s="1"/>
  <c r="J24" i="9"/>
  <c r="K24" i="9" s="1"/>
  <c r="K23" i="9"/>
  <c r="J23" i="9"/>
  <c r="K21" i="9"/>
  <c r="J21" i="9"/>
  <c r="K20" i="9"/>
  <c r="J20" i="9"/>
  <c r="J19" i="9"/>
  <c r="K19" i="9" s="1"/>
  <c r="J18" i="9"/>
  <c r="K18" i="9" s="1"/>
  <c r="J17" i="9"/>
  <c r="K17" i="9" s="1"/>
  <c r="K16" i="9"/>
  <c r="J16" i="9"/>
  <c r="K15" i="9"/>
  <c r="J15" i="9"/>
  <c r="K13" i="9"/>
  <c r="J13" i="9"/>
  <c r="J12" i="9"/>
  <c r="K12" i="9" s="1"/>
  <c r="J11" i="9"/>
  <c r="K11" i="9" s="1"/>
  <c r="J10" i="9"/>
  <c r="K10" i="9" s="1"/>
  <c r="J9" i="9"/>
  <c r="J37" i="9" s="1"/>
  <c r="K8" i="9"/>
  <c r="J8" i="9"/>
  <c r="K7" i="9"/>
  <c r="J7" i="9"/>
  <c r="J6" i="9"/>
  <c r="K6" i="9" s="1"/>
  <c r="H35" i="8"/>
  <c r="J35" i="8" s="1"/>
  <c r="K35" i="8" s="1"/>
  <c r="K34" i="8"/>
  <c r="J34" i="8"/>
  <c r="H34" i="8"/>
  <c r="H33" i="8"/>
  <c r="J33" i="8" s="1"/>
  <c r="K33" i="8" s="1"/>
  <c r="H32" i="8"/>
  <c r="J32" i="8" s="1"/>
  <c r="K32" i="8" s="1"/>
  <c r="H31" i="8"/>
  <c r="J31" i="8" s="1"/>
  <c r="K31" i="8" s="1"/>
  <c r="K29" i="8"/>
  <c r="J29" i="8"/>
  <c r="H29" i="8"/>
  <c r="H28" i="8"/>
  <c r="J28" i="8" s="1"/>
  <c r="K28" i="8" s="1"/>
  <c r="J27" i="8"/>
  <c r="K27" i="8" s="1"/>
  <c r="H27" i="8"/>
  <c r="H26" i="8"/>
  <c r="J26" i="8" s="1"/>
  <c r="K26" i="8" s="1"/>
  <c r="K25" i="8"/>
  <c r="J25" i="8"/>
  <c r="H25" i="8"/>
  <c r="H24" i="8"/>
  <c r="J24" i="8" s="1"/>
  <c r="K24" i="8" s="1"/>
  <c r="H23" i="8"/>
  <c r="J23" i="8" s="1"/>
  <c r="K23" i="8" s="1"/>
  <c r="J21" i="8"/>
  <c r="K21" i="8" s="1"/>
  <c r="H21" i="8"/>
  <c r="K20" i="8"/>
  <c r="J20" i="8"/>
  <c r="H20" i="8"/>
  <c r="H19" i="8"/>
  <c r="J19" i="8" s="1"/>
  <c r="K19" i="8" s="1"/>
  <c r="H18" i="8"/>
  <c r="J18" i="8" s="1"/>
  <c r="K18" i="8" s="1"/>
  <c r="H17" i="8"/>
  <c r="J17" i="8" s="1"/>
  <c r="K17" i="8" s="1"/>
  <c r="K16" i="8"/>
  <c r="J16" i="8"/>
  <c r="H16" i="8"/>
  <c r="H15" i="8"/>
  <c r="J15" i="8" s="1"/>
  <c r="K15" i="8" s="1"/>
  <c r="H13" i="8"/>
  <c r="J13" i="8" s="1"/>
  <c r="K13" i="8" s="1"/>
  <c r="H12" i="8"/>
  <c r="J12" i="8" s="1"/>
  <c r="K12" i="8" s="1"/>
  <c r="K11" i="8"/>
  <c r="J11" i="8"/>
  <c r="H11" i="8"/>
  <c r="H10" i="8"/>
  <c r="J10" i="8" s="1"/>
  <c r="K10" i="8" s="1"/>
  <c r="J9" i="8"/>
  <c r="K9" i="8" s="1"/>
  <c r="H9" i="8"/>
  <c r="H8" i="8"/>
  <c r="J8" i="8" s="1"/>
  <c r="K8" i="8" s="1"/>
  <c r="K7" i="8"/>
  <c r="J7" i="8"/>
  <c r="H7" i="8"/>
  <c r="H6" i="8"/>
  <c r="J6" i="8" s="1"/>
  <c r="H41" i="7"/>
  <c r="J41" i="7" s="1"/>
  <c r="K41" i="7" s="1"/>
  <c r="J40" i="7"/>
  <c r="K40" i="7" s="1"/>
  <c r="H40" i="7"/>
  <c r="J39" i="7"/>
  <c r="K39" i="7" s="1"/>
  <c r="H39" i="7"/>
  <c r="H38" i="7"/>
  <c r="J38" i="7" s="1"/>
  <c r="K38" i="7" s="1"/>
  <c r="H37" i="7"/>
  <c r="J37" i="7" s="1"/>
  <c r="K37" i="7" s="1"/>
  <c r="J35" i="7"/>
  <c r="K35" i="7" s="1"/>
  <c r="H35" i="7"/>
  <c r="J34" i="7"/>
  <c r="K34" i="7" s="1"/>
  <c r="H34" i="7"/>
  <c r="H33" i="7"/>
  <c r="J33" i="7" s="1"/>
  <c r="K33" i="7" s="1"/>
  <c r="J32" i="7"/>
  <c r="K32" i="7" s="1"/>
  <c r="H32" i="7"/>
  <c r="J31" i="7"/>
  <c r="K31" i="7" s="1"/>
  <c r="H31" i="7"/>
  <c r="J30" i="7"/>
  <c r="K30" i="7" s="1"/>
  <c r="H30" i="7"/>
  <c r="H29" i="7"/>
  <c r="J29" i="7" s="1"/>
  <c r="K29" i="7" s="1"/>
  <c r="K27" i="7"/>
  <c r="J27" i="7"/>
  <c r="H27" i="7"/>
  <c r="J26" i="7"/>
  <c r="K26" i="7" s="1"/>
  <c r="H26" i="7"/>
  <c r="J25" i="7"/>
  <c r="K25" i="7" s="1"/>
  <c r="H25" i="7"/>
  <c r="H24" i="7"/>
  <c r="J24" i="7" s="1"/>
  <c r="K24" i="7" s="1"/>
  <c r="H23" i="7"/>
  <c r="J23" i="7" s="1"/>
  <c r="K23" i="7" s="1"/>
  <c r="K22" i="7"/>
  <c r="J22" i="7"/>
  <c r="H22" i="7"/>
  <c r="J21" i="7"/>
  <c r="K21" i="7" s="1"/>
  <c r="H21" i="7"/>
  <c r="H19" i="7"/>
  <c r="J19" i="7" s="1"/>
  <c r="K19" i="7" s="1"/>
  <c r="H18" i="7"/>
  <c r="J18" i="7" s="1"/>
  <c r="K18" i="7" s="1"/>
  <c r="J17" i="7"/>
  <c r="K17" i="7" s="1"/>
  <c r="H17" i="7"/>
  <c r="J16" i="7"/>
  <c r="K16" i="7" s="1"/>
  <c r="H16" i="7"/>
  <c r="H15" i="7"/>
  <c r="J15" i="7" s="1"/>
  <c r="K15" i="7" s="1"/>
  <c r="J14" i="7"/>
  <c r="K14" i="7" s="1"/>
  <c r="H14" i="7"/>
  <c r="J13" i="7"/>
  <c r="K13" i="7" s="1"/>
  <c r="H13" i="7"/>
  <c r="J11" i="7"/>
  <c r="K11" i="7" s="1"/>
  <c r="H11" i="7"/>
  <c r="H10" i="7"/>
  <c r="J10" i="7" s="1"/>
  <c r="K10" i="7" s="1"/>
  <c r="K9" i="7"/>
  <c r="J9" i="7"/>
  <c r="H9" i="7"/>
  <c r="J8" i="7"/>
  <c r="K8" i="7" s="1"/>
  <c r="H8" i="7"/>
  <c r="J7" i="7"/>
  <c r="K7" i="7" s="1"/>
  <c r="H7" i="7"/>
  <c r="H6" i="7"/>
  <c r="J6" i="7" s="1"/>
  <c r="K6" i="7" s="1"/>
  <c r="H32" i="6"/>
  <c r="J32" i="6" s="1"/>
  <c r="K32" i="6" s="1"/>
  <c r="H31" i="6"/>
  <c r="J31" i="6" s="1"/>
  <c r="K31" i="6" s="1"/>
  <c r="H30" i="6"/>
  <c r="J30" i="6" s="1"/>
  <c r="K30" i="6" s="1"/>
  <c r="H29" i="6"/>
  <c r="J29" i="6" s="1"/>
  <c r="K29" i="6" s="1"/>
  <c r="H28" i="6"/>
  <c r="J28" i="6" s="1"/>
  <c r="K28" i="6" s="1"/>
  <c r="H26" i="6"/>
  <c r="J26" i="6" s="1"/>
  <c r="K26" i="6" s="1"/>
  <c r="H25" i="6"/>
  <c r="J25" i="6" s="1"/>
  <c r="K25" i="6" s="1"/>
  <c r="H24" i="6"/>
  <c r="J24" i="6" s="1"/>
  <c r="K24" i="6" s="1"/>
  <c r="J23" i="6"/>
  <c r="K23" i="6" s="1"/>
  <c r="H23" i="6"/>
  <c r="H22" i="6"/>
  <c r="J22" i="6" s="1"/>
  <c r="K22" i="6" s="1"/>
  <c r="H21" i="6"/>
  <c r="J21" i="6" s="1"/>
  <c r="K21" i="6" s="1"/>
  <c r="H19" i="6"/>
  <c r="J19" i="6" s="1"/>
  <c r="K19" i="6" s="1"/>
  <c r="H18" i="6"/>
  <c r="J18" i="6" s="1"/>
  <c r="K18" i="6" s="1"/>
  <c r="H17" i="6"/>
  <c r="J17" i="6" s="1"/>
  <c r="K17" i="6" s="1"/>
  <c r="H16" i="6"/>
  <c r="J16" i="6" s="1"/>
  <c r="K16" i="6" s="1"/>
  <c r="H15" i="6"/>
  <c r="J15" i="6" s="1"/>
  <c r="K15" i="6" s="1"/>
  <c r="H14" i="6"/>
  <c r="J14" i="6" s="1"/>
  <c r="K14" i="6" s="1"/>
  <c r="H13" i="6"/>
  <c r="J13" i="6" s="1"/>
  <c r="K13" i="6" s="1"/>
  <c r="H11" i="6"/>
  <c r="J11" i="6" s="1"/>
  <c r="K11" i="6" s="1"/>
  <c r="H10" i="6"/>
  <c r="J10" i="6" s="1"/>
  <c r="K10" i="6" s="1"/>
  <c r="K9" i="6"/>
  <c r="J9" i="6"/>
  <c r="H9" i="6"/>
  <c r="H8" i="6"/>
  <c r="J8" i="6" s="1"/>
  <c r="K8" i="6" s="1"/>
  <c r="H7" i="6"/>
  <c r="J7" i="6" s="1"/>
  <c r="K7" i="6" s="1"/>
  <c r="H6" i="6"/>
  <c r="J6" i="6" s="1"/>
  <c r="K38" i="5"/>
  <c r="J38" i="5"/>
  <c r="H38" i="5"/>
  <c r="H37" i="5"/>
  <c r="J37" i="5" s="1"/>
  <c r="K37" i="5" s="1"/>
  <c r="H36" i="5"/>
  <c r="J36" i="5" s="1"/>
  <c r="K36" i="5" s="1"/>
  <c r="H35" i="5"/>
  <c r="J35" i="5" s="1"/>
  <c r="K35" i="5" s="1"/>
  <c r="K34" i="5"/>
  <c r="J34" i="5"/>
  <c r="H34" i="5"/>
  <c r="H32" i="5"/>
  <c r="J32" i="5" s="1"/>
  <c r="K32" i="5" s="1"/>
  <c r="H31" i="5"/>
  <c r="J31" i="5" s="1"/>
  <c r="K31" i="5" s="1"/>
  <c r="H30" i="5"/>
  <c r="J30" i="5" s="1"/>
  <c r="K30" i="5" s="1"/>
  <c r="K29" i="5"/>
  <c r="J29" i="5"/>
  <c r="H29" i="5"/>
  <c r="H28" i="5"/>
  <c r="J28" i="5" s="1"/>
  <c r="K28" i="5" s="1"/>
  <c r="H27" i="5"/>
  <c r="J27" i="5" s="1"/>
  <c r="K27" i="5" s="1"/>
  <c r="H26" i="5"/>
  <c r="J26" i="5" s="1"/>
  <c r="K26" i="5" s="1"/>
  <c r="K25" i="5"/>
  <c r="J25" i="5"/>
  <c r="H25" i="5"/>
  <c r="H24" i="5"/>
  <c r="J24" i="5" s="1"/>
  <c r="K24" i="5" s="1"/>
  <c r="H22" i="5"/>
  <c r="J22" i="5" s="1"/>
  <c r="K22" i="5" s="1"/>
  <c r="J21" i="5"/>
  <c r="K21" i="5" s="1"/>
  <c r="H21" i="5"/>
  <c r="K20" i="5"/>
  <c r="J20" i="5"/>
  <c r="H20" i="5"/>
  <c r="H19" i="5"/>
  <c r="J19" i="5" s="1"/>
  <c r="K19" i="5" s="1"/>
  <c r="H18" i="5"/>
  <c r="J18" i="5" s="1"/>
  <c r="K18" i="5" s="1"/>
  <c r="H17" i="5"/>
  <c r="J17" i="5" s="1"/>
  <c r="K17" i="5" s="1"/>
  <c r="K16" i="5"/>
  <c r="J16" i="5"/>
  <c r="H16" i="5"/>
  <c r="H15" i="5"/>
  <c r="J15" i="5" s="1"/>
  <c r="K15" i="5" s="1"/>
  <c r="H13" i="5"/>
  <c r="J13" i="5" s="1"/>
  <c r="K13" i="5" s="1"/>
  <c r="H12" i="5"/>
  <c r="J12" i="5" s="1"/>
  <c r="K12" i="5" s="1"/>
  <c r="K11" i="5"/>
  <c r="J11" i="5"/>
  <c r="H11" i="5"/>
  <c r="H10" i="5"/>
  <c r="J10" i="5" s="1"/>
  <c r="K10" i="5" s="1"/>
  <c r="J9" i="5"/>
  <c r="K9" i="5" s="1"/>
  <c r="H9" i="5"/>
  <c r="H8" i="5"/>
  <c r="J8" i="5" s="1"/>
  <c r="K8" i="5" s="1"/>
  <c r="K7" i="5"/>
  <c r="J7" i="5"/>
  <c r="H7" i="5"/>
  <c r="H6" i="5"/>
  <c r="J6" i="5" s="1"/>
  <c r="J33" i="4"/>
  <c r="K33" i="4" s="1"/>
  <c r="H33" i="4"/>
  <c r="J32" i="4"/>
  <c r="K32" i="4" s="1"/>
  <c r="H32" i="4"/>
  <c r="J31" i="4"/>
  <c r="K31" i="4" s="1"/>
  <c r="H31" i="4"/>
  <c r="H30" i="4"/>
  <c r="J30" i="4" s="1"/>
  <c r="K30" i="4" s="1"/>
  <c r="J29" i="4"/>
  <c r="K29" i="4" s="1"/>
  <c r="H29" i="4"/>
  <c r="K27" i="4"/>
  <c r="J27" i="4"/>
  <c r="H27" i="4"/>
  <c r="J26" i="4"/>
  <c r="K26" i="4" s="1"/>
  <c r="H26" i="4"/>
  <c r="H25" i="4"/>
  <c r="J25" i="4" s="1"/>
  <c r="K25" i="4" s="1"/>
  <c r="J24" i="4"/>
  <c r="K24" i="4" s="1"/>
  <c r="H24" i="4"/>
  <c r="K23" i="4"/>
  <c r="J23" i="4"/>
  <c r="H23" i="4"/>
  <c r="J22" i="4"/>
  <c r="K22" i="4" s="1"/>
  <c r="H22" i="4"/>
  <c r="H20" i="4"/>
  <c r="J20" i="4" s="1"/>
  <c r="K20" i="4" s="1"/>
  <c r="H19" i="4"/>
  <c r="J19" i="4" s="1"/>
  <c r="K19" i="4" s="1"/>
  <c r="K18" i="4"/>
  <c r="J18" i="4"/>
  <c r="H18" i="4"/>
  <c r="J17" i="4"/>
  <c r="K17" i="4" s="1"/>
  <c r="H17" i="4"/>
  <c r="J16" i="4"/>
  <c r="K16" i="4" s="1"/>
  <c r="H16" i="4"/>
  <c r="H15" i="4"/>
  <c r="J15" i="4" s="1"/>
  <c r="K15" i="4" s="1"/>
  <c r="J13" i="4"/>
  <c r="K13" i="4" s="1"/>
  <c r="H13" i="4"/>
  <c r="J12" i="4"/>
  <c r="K12" i="4" s="1"/>
  <c r="H12" i="4"/>
  <c r="H11" i="4"/>
  <c r="J11" i="4" s="1"/>
  <c r="K11" i="4" s="1"/>
  <c r="H10" i="4"/>
  <c r="J10" i="4" s="1"/>
  <c r="K10" i="4" s="1"/>
  <c r="J9" i="4"/>
  <c r="K9" i="4" s="1"/>
  <c r="H9" i="4"/>
  <c r="J8" i="4"/>
  <c r="K8" i="4" s="1"/>
  <c r="H8" i="4"/>
  <c r="H7" i="4"/>
  <c r="J7" i="4" s="1"/>
  <c r="K7" i="4" s="1"/>
  <c r="H6" i="4"/>
  <c r="J6" i="4" s="1"/>
  <c r="H53" i="3"/>
  <c r="J53" i="3" s="1"/>
  <c r="K53" i="3" s="1"/>
  <c r="H52" i="3"/>
  <c r="J52" i="3" s="1"/>
  <c r="K52" i="3" s="1"/>
  <c r="H51" i="3"/>
  <c r="J51" i="3" s="1"/>
  <c r="K51" i="3" s="1"/>
  <c r="J50" i="3"/>
  <c r="K50" i="3" s="1"/>
  <c r="H50" i="3"/>
  <c r="H49" i="3"/>
  <c r="J49" i="3" s="1"/>
  <c r="K49" i="3" s="1"/>
  <c r="H47" i="3"/>
  <c r="J47" i="3" s="1"/>
  <c r="K47" i="3" s="1"/>
  <c r="H46" i="3"/>
  <c r="J46" i="3" s="1"/>
  <c r="K46" i="3" s="1"/>
  <c r="H45" i="3"/>
  <c r="J45" i="3" s="1"/>
  <c r="K45" i="3" s="1"/>
  <c r="H44" i="3"/>
  <c r="J44" i="3" s="1"/>
  <c r="K44" i="3" s="1"/>
  <c r="H43" i="3"/>
  <c r="J43" i="3" s="1"/>
  <c r="K43" i="3" s="1"/>
  <c r="H42" i="3"/>
  <c r="J42" i="3" s="1"/>
  <c r="K42" i="3" s="1"/>
  <c r="H40" i="3"/>
  <c r="J40" i="3" s="1"/>
  <c r="K40" i="3" s="1"/>
  <c r="H39" i="3"/>
  <c r="J39" i="3" s="1"/>
  <c r="K39" i="3" s="1"/>
  <c r="H38" i="3"/>
  <c r="J38" i="3" s="1"/>
  <c r="K38" i="3" s="1"/>
  <c r="H37" i="3"/>
  <c r="J37" i="3" s="1"/>
  <c r="K37" i="3" s="1"/>
  <c r="J36" i="3"/>
  <c r="K36" i="3" s="1"/>
  <c r="H36" i="3"/>
  <c r="H35" i="3"/>
  <c r="J35" i="3" s="1"/>
  <c r="K35" i="3" s="1"/>
  <c r="H33" i="3"/>
  <c r="J33" i="3" s="1"/>
  <c r="K33" i="3" s="1"/>
  <c r="H32" i="3"/>
  <c r="J32" i="3" s="1"/>
  <c r="K32" i="3" s="1"/>
  <c r="H31" i="3"/>
  <c r="J31" i="3" s="1"/>
  <c r="K31" i="3" s="1"/>
  <c r="H30" i="3"/>
  <c r="J30" i="3" s="1"/>
  <c r="K30" i="3" s="1"/>
  <c r="H29" i="3"/>
  <c r="J29" i="3" s="1"/>
  <c r="K29" i="3" s="1"/>
  <c r="H28" i="3"/>
  <c r="J28" i="3" s="1"/>
  <c r="K28" i="3" s="1"/>
  <c r="H26" i="3"/>
  <c r="J26" i="3" s="1"/>
  <c r="K26" i="3" s="1"/>
  <c r="H25" i="3"/>
  <c r="J25" i="3" s="1"/>
  <c r="K25" i="3" s="1"/>
  <c r="H24" i="3"/>
  <c r="J24" i="3" s="1"/>
  <c r="K24" i="3" s="1"/>
  <c r="H23" i="3"/>
  <c r="J23" i="3" s="1"/>
  <c r="K23" i="3" s="1"/>
  <c r="J22" i="3"/>
  <c r="K22" i="3" s="1"/>
  <c r="H22" i="3"/>
  <c r="H21" i="3"/>
  <c r="J21" i="3" s="1"/>
  <c r="K21" i="3" s="1"/>
  <c r="H19" i="3"/>
  <c r="J19" i="3" s="1"/>
  <c r="K19" i="3" s="1"/>
  <c r="H18" i="3"/>
  <c r="J18" i="3" s="1"/>
  <c r="K18" i="3" s="1"/>
  <c r="H17" i="3"/>
  <c r="J17" i="3" s="1"/>
  <c r="K17" i="3" s="1"/>
  <c r="H16" i="3"/>
  <c r="J16" i="3" s="1"/>
  <c r="K16" i="3" s="1"/>
  <c r="H15" i="3"/>
  <c r="J15" i="3" s="1"/>
  <c r="K15" i="3" s="1"/>
  <c r="H14" i="3"/>
  <c r="J14" i="3" s="1"/>
  <c r="K14" i="3" s="1"/>
  <c r="H12" i="3"/>
  <c r="J12" i="3" s="1"/>
  <c r="K12" i="3" s="1"/>
  <c r="H11" i="3"/>
  <c r="J11" i="3" s="1"/>
  <c r="K11" i="3" s="1"/>
  <c r="H10" i="3"/>
  <c r="J10" i="3" s="1"/>
  <c r="K10" i="3" s="1"/>
  <c r="H9" i="3"/>
  <c r="J9" i="3" s="1"/>
  <c r="J8" i="3"/>
  <c r="K8" i="3" s="1"/>
  <c r="H8" i="3"/>
  <c r="H7" i="3"/>
  <c r="J7" i="3" s="1"/>
  <c r="K7" i="3" s="1"/>
  <c r="H6" i="3"/>
  <c r="J6" i="3" s="1"/>
  <c r="K6" i="3" s="1"/>
  <c r="K40" i="14" l="1"/>
  <c r="D19" i="17" s="1"/>
  <c r="K60" i="13"/>
  <c r="D18" i="17" s="1"/>
  <c r="J37" i="10"/>
  <c r="E15" i="17" s="1"/>
  <c r="J55" i="3"/>
  <c r="K9" i="3"/>
  <c r="J34" i="6"/>
  <c r="D11" i="17" s="1"/>
  <c r="K6" i="6"/>
  <c r="D9" i="17"/>
  <c r="J35" i="4"/>
  <c r="K6" i="4"/>
  <c r="K9" i="9"/>
  <c r="J37" i="12"/>
  <c r="E14" i="17"/>
  <c r="D10" i="17"/>
  <c r="K6" i="5"/>
  <c r="E21" i="17"/>
  <c r="K6" i="8"/>
  <c r="D13" i="17"/>
  <c r="J75" i="15"/>
  <c r="J60" i="13"/>
  <c r="E18" i="17" s="1"/>
  <c r="K43" i="7"/>
  <c r="E12" i="17" s="1"/>
  <c r="K7" i="16"/>
  <c r="K35" i="16" s="1"/>
  <c r="J37" i="8"/>
  <c r="J40" i="14"/>
  <c r="E19" i="17" s="1"/>
  <c r="E17" i="17"/>
  <c r="D15" i="17"/>
  <c r="J43" i="7"/>
  <c r="D12" i="17" s="1"/>
  <c r="J38" i="11"/>
  <c r="E16" i="17" s="1"/>
  <c r="J40" i="5"/>
  <c r="K37" i="10"/>
  <c r="K7" i="11"/>
  <c r="D8" i="17"/>
  <c r="E20" i="17"/>
  <c r="K6" i="15"/>
  <c r="K6" i="12"/>
  <c r="K37" i="9" l="1"/>
  <c r="D14" i="17" s="1"/>
  <c r="K40" i="5"/>
  <c r="E10" i="17" s="1"/>
  <c r="K75" i="15"/>
  <c r="D20" i="17"/>
  <c r="K55" i="3"/>
  <c r="E8" i="17" s="1"/>
  <c r="K37" i="12"/>
  <c r="D17" i="17" s="1"/>
  <c r="K37" i="8"/>
  <c r="E13" i="17" s="1"/>
  <c r="D22" i="17"/>
  <c r="K35" i="4"/>
  <c r="E9" i="17" s="1"/>
  <c r="K34" i="6"/>
  <c r="E11" i="17" s="1"/>
  <c r="K38" i="11"/>
  <c r="D16" i="17"/>
  <c r="E23" i="17"/>
  <c r="D21" i="17"/>
  <c r="D23" i="17" l="1"/>
  <c r="E22" i="17"/>
  <c r="E24" i="17" s="1"/>
  <c r="D24" i="17"/>
  <c r="F22" i="17"/>
  <c r="F16" i="17"/>
  <c r="F20" i="17"/>
  <c r="F11" i="17" l="1"/>
  <c r="F13" i="17"/>
  <c r="F9" i="17"/>
  <c r="F12" i="17"/>
  <c r="F8" i="17"/>
  <c r="F15" i="17"/>
  <c r="F18" i="17"/>
  <c r="F14" i="17"/>
  <c r="F19" i="17"/>
  <c r="F10" i="17"/>
  <c r="F21" i="17"/>
  <c r="F17" i="17"/>
  <c r="F23" i="17"/>
</calcChain>
</file>

<file path=xl/sharedStrings.xml><?xml version="1.0" encoding="utf-8"?>
<sst xmlns="http://schemas.openxmlformats.org/spreadsheetml/2006/main" count="1160" uniqueCount="351">
  <si>
    <t>НОРМЫ РАСХОДОВ НА ПРОИЗВОДСТВО</t>
  </si>
  <si>
    <t>Универсальный шаблон с разделением на переменные и постоянные затраты</t>
  </si>
  <si>
    <t>ГЛАВНАЯ ИДЕЯ ШАБЛОНА</t>
  </si>
  <si>
    <t>Все затраты разделены на ДВЕ ГРУППЫ по способу нормирования:</t>
  </si>
  <si>
    <t>🔵 ГРУППА А — ПЕРЕМЕННЫЕ ЗАТРАТЫ (на 1 единицу продукции)</t>
  </si>
  <si>
    <t xml:space="preserve">    Расход зависит от объёма выпуска. Произвели больше → потратили больше.</t>
  </si>
  <si>
    <t xml:space="preserve">    Норма: например, "4 г полипропилена на 1 шприц".</t>
  </si>
  <si>
    <t>🟠 ГРУППА Б — ПОСТОЯННЫЕ ЗАТРАТЫ (на период)</t>
  </si>
  <si>
    <t xml:space="preserve">    Расход не зависит напрямую от количества единиц. Нормируется на месяц/год/срок службы.</t>
  </si>
  <si>
    <t xml:space="preserve">    Норма: например, "20 л масла на машину раз в квартал" или "пресс-форма на 1 млн циклов".</t>
  </si>
  <si>
    <t xml:space="preserve">    Шаблон автоматически пересчитывает эти затраты на 1 единицу продукции через объём выпуска.</t>
  </si>
  <si>
    <t>🟢 СВОДКА — Полная себестоимость 1 единицы продукции (А + Б)</t>
  </si>
  <si>
    <t>СТРУКТУРА ШАБЛОНА</t>
  </si>
  <si>
    <t>Лист</t>
  </si>
  <si>
    <t>Описание</t>
  </si>
  <si>
    <t>Тип нормы</t>
  </si>
  <si>
    <t>— ОБЩЕЕ —</t>
  </si>
  <si>
    <t>Продукт</t>
  </si>
  <si>
    <t>Параметры продукта и объём выпуска</t>
  </si>
  <si>
    <t>— ГРУППА А: ПЕРЕМЕННЫЕ ЗАТРАТЫ —</t>
  </si>
  <si>
    <t>🔵</t>
  </si>
  <si>
    <t>А1. Сырьё</t>
  </si>
  <si>
    <t>Основное сырьё (полимеры, металл, ткань, мука и т.д.)</t>
  </si>
  <si>
    <t>на 1 ед.</t>
  </si>
  <si>
    <t>А2. Вспом материалы</t>
  </si>
  <si>
    <t>Добавки, красители, реактивы</t>
  </si>
  <si>
    <t>А3. Упаковка</t>
  </si>
  <si>
    <t>Тара, плёнка, этикетки, коробки</t>
  </si>
  <si>
    <t>А4. Комплектующие</t>
  </si>
  <si>
    <t>Готовые детали, крепёж, электроника</t>
  </si>
  <si>
    <t>А5. Энергоресурсы</t>
  </si>
  <si>
    <t>Электричество, вода, газ, пар (производственные)</t>
  </si>
  <si>
    <t>А6. Отходы</t>
  </si>
  <si>
    <t>% потерь сырья + стоимость утилизации</t>
  </si>
  <si>
    <t>% от сырья</t>
  </si>
  <si>
    <t>— ГРУППА Б: ПОСТОЯННЫЕ ЗАТРАТЫ —</t>
  </si>
  <si>
    <t>🟠</t>
  </si>
  <si>
    <t>Б1. Оборудование</t>
  </si>
  <si>
    <t>Амортизация основных средств (станки, линии)</t>
  </si>
  <si>
    <t>на период</t>
  </si>
  <si>
    <t>Б2. Оснастка</t>
  </si>
  <si>
    <t>Износ форм, штампов, инструмента (по циклам/времени)</t>
  </si>
  <si>
    <t>Б3. Запчасти</t>
  </si>
  <si>
    <t>ЗИП с интервалом замены</t>
  </si>
  <si>
    <t>Б4. Расходники</t>
  </si>
  <si>
    <t>Масла, СОЖ, фильтры (по моточасам/периоду)</t>
  </si>
  <si>
    <t>Б5. Материалы ТОиР</t>
  </si>
  <si>
    <t>Герметики, краски, изоляция для ремонта</t>
  </si>
  <si>
    <t>Б6. СИЗ и санитария</t>
  </si>
  <si>
    <t>Перчатки, спецодежда, моющие (на чел/мес)</t>
  </si>
  <si>
    <t>Б7. Услуги</t>
  </si>
  <si>
    <t>Логистика, сертификация, IT, аутсорс</t>
  </si>
  <si>
    <t>Б8. Прочее</t>
  </si>
  <si>
    <t>Любые позиции, не вошедшие выше</t>
  </si>
  <si>
    <t xml:space="preserve">— </t>
  </si>
  <si>
    <t>— ИТОГ —</t>
  </si>
  <si>
    <t>🟢</t>
  </si>
  <si>
    <t>Сводка</t>
  </si>
  <si>
    <t>Полная себестоимость 1 ед. = А + Б</t>
  </si>
  <si>
    <t>ЦВЕТОВАЯ ЛЕГЕНДА</t>
  </si>
  <si>
    <t>Заголовки группы А (переменные затраты)</t>
  </si>
  <si>
    <t>Заголовки группы Б (постоянные затраты)</t>
  </si>
  <si>
    <t>Подкатегории группы А</t>
  </si>
  <si>
    <t>Подкатегории группы Б</t>
  </si>
  <si>
    <t>Поля "ДОБАВИТЬ ЕЩЁ ПУНКТ"</t>
  </si>
  <si>
    <t>Итоговые строки</t>
  </si>
  <si>
    <t>Ключевые параметры — заполнить обязательно</t>
  </si>
  <si>
    <t>ИНФОРМАЦИЯ О ПРОДУКТЕ И ПЕРИОДЕ</t>
  </si>
  <si>
    <t>Параметр</t>
  </si>
  <si>
    <t>Значение</t>
  </si>
  <si>
    <t>Комментарий / пример</t>
  </si>
  <si>
    <t>Наименование продукта</t>
  </si>
  <si>
    <t>Например: Шприц одноразовый 10мл</t>
  </si>
  <si>
    <t>Артикул / Код продукта</t>
  </si>
  <si>
    <t>Единица измерения готовой продукции</t>
  </si>
  <si>
    <t>шт</t>
  </si>
  <si>
    <t>шт, кг, л, м, упаковка</t>
  </si>
  <si>
    <t>Плановый объём выпуска за период</t>
  </si>
  <si>
    <t>⚠ Используется в формулах! Не оставляйте пустым</t>
  </si>
  <si>
    <t>Период (день/месяц/год)</t>
  </si>
  <si>
    <t>месяц</t>
  </si>
  <si>
    <t>Длительность периода в месяцах</t>
  </si>
  <si>
    <t>Для пересчёта годовых затрат (1=месяц, 12=год)</t>
  </si>
  <si>
    <t>Количество рабочих дней в периоде</t>
  </si>
  <si>
    <t>Для расчёта расхода по дням</t>
  </si>
  <si>
    <t>Количество рабочих часов в периоде</t>
  </si>
  <si>
    <t>Для расчёта расхода по моточасам</t>
  </si>
  <si>
    <t>Численность производственного персонала</t>
  </si>
  <si>
    <t>Для расчёта расхода СИЗ</t>
  </si>
  <si>
    <t>Количество единиц оборудования</t>
  </si>
  <si>
    <t>Для общих расчётов</t>
  </si>
  <si>
    <t>Дата составления норм</t>
  </si>
  <si>
    <t>Ответственный (ФИО)</t>
  </si>
  <si>
    <t>🔵 А1. СЫРЬЁ (ОСНОВНОЕ)  (норма на 1 ед. продукции)</t>
  </si>
  <si>
    <t>Жёлтые ячейки — обязательно заполнить (норма + цена). Стоимость считается автоматически.</t>
  </si>
  <si>
    <t>№</t>
  </si>
  <si>
    <t>Подкатегория / группа</t>
  </si>
  <si>
    <t>Наименование позиции</t>
  </si>
  <si>
    <t>Артикул / код</t>
  </si>
  <si>
    <t>Ед. изм.</t>
  </si>
  <si>
    <t>Норма расхода на 1 ед. продукции</t>
  </si>
  <si>
    <t>% потерь / отходов</t>
  </si>
  <si>
    <t>Норма с учётом потерь</t>
  </si>
  <si>
    <t>Цена за единицу</t>
  </si>
  <si>
    <t>Стоимость на 1 ед. продукции</t>
  </si>
  <si>
    <t>Стоимость на весь объём выпуска</t>
  </si>
  <si>
    <t>Поставщик</t>
  </si>
  <si>
    <t>Срок поставки (дней)</t>
  </si>
  <si>
    <t>Мин. складской запас</t>
  </si>
  <si>
    <t>Примечание</t>
  </si>
  <si>
    <t>Полимеры и пластмассы</t>
  </si>
  <si>
    <t>Полипропилен (гранулят)</t>
  </si>
  <si>
    <t>кг</t>
  </si>
  <si>
    <t>Полиэтилен низкого давления</t>
  </si>
  <si>
    <t>Металлы и сплавы</t>
  </si>
  <si>
    <t>Сталь листовая</t>
  </si>
  <si>
    <t>Древесина и изделия</t>
  </si>
  <si>
    <t>Древесина (доска)</t>
  </si>
  <si>
    <t>м³</t>
  </si>
  <si>
    <t>Текстиль и волокна</t>
  </si>
  <si>
    <t>Ткань</t>
  </si>
  <si>
    <t>м</t>
  </si>
  <si>
    <t>Пищевое сырьё</t>
  </si>
  <si>
    <t>Мука</t>
  </si>
  <si>
    <t>Химическое сырьё</t>
  </si>
  <si>
    <t>Активное вещество</t>
  </si>
  <si>
    <t>+ ДОБАВИТЬ ЕЩЁ ПУНКТ (вставляйте строки выше или дописывайте здесь)</t>
  </si>
  <si>
    <t>ИТОГО ПО КАТЕГОРИИ:</t>
  </si>
  <si>
    <t>🔵 А2. ВСПОМОГАТЕЛЬНЫЕ МАТЕРИАЛЫ  (норма на 1 ед. продукции)</t>
  </si>
  <si>
    <t>Добавки и модификаторы</t>
  </si>
  <si>
    <t>Карбамид (скользящая добавка)</t>
  </si>
  <si>
    <t>Краситель / пигмент</t>
  </si>
  <si>
    <t>Стабилизатор</t>
  </si>
  <si>
    <t>Клеи, герметики технологические</t>
  </si>
  <si>
    <t>Клей промышленный</t>
  </si>
  <si>
    <t>Реактивы процесса</t>
  </si>
  <si>
    <t>Реактив технологический</t>
  </si>
  <si>
    <t>🔵 А3. УПАКОВКА  (норма на 1 ед. продукции)</t>
  </si>
  <si>
    <t>Первичная упаковка</t>
  </si>
  <si>
    <t>Блистерная плёнка</t>
  </si>
  <si>
    <t>м²</t>
  </si>
  <si>
    <t>Бумага газостерилизуемая</t>
  </si>
  <si>
    <t>Пакет/банка/флакон</t>
  </si>
  <si>
    <t>Вторичная упаковка</t>
  </si>
  <si>
    <t>Коробка картонная</t>
  </si>
  <si>
    <t>Этикетка</t>
  </si>
  <si>
    <t>Инструкция (вкладыш)</t>
  </si>
  <si>
    <t>Транспортная упаковка</t>
  </si>
  <si>
    <t>Гофрокороб</t>
  </si>
  <si>
    <t>Стрейч-плёнка</t>
  </si>
  <si>
    <t>Скотч упаковочный</t>
  </si>
  <si>
    <t>Паллета деревянная</t>
  </si>
  <si>
    <t>🔵 А4. КОМПЛЕКТУЮЩИЕ И ПОЛУФАБРИКАТЫ  (норма на 1 ед. продукции)</t>
  </si>
  <si>
    <t>Готовые детали (покупные)</t>
  </si>
  <si>
    <t>Деталь / узел</t>
  </si>
  <si>
    <t>Крепёж и метизы</t>
  </si>
  <si>
    <t>Винт / болт</t>
  </si>
  <si>
    <t>Гайка</t>
  </si>
  <si>
    <t>Электронные компоненты</t>
  </si>
  <si>
    <t>Плата / модуль</t>
  </si>
  <si>
    <t>🔵 А5. ЭНЕРГОРЕСУРСЫ (ПРОИЗВОДСТВЕННЫЕ)  (норма на 1 ед. продукции)</t>
  </si>
  <si>
    <t>Электричество</t>
  </si>
  <si>
    <t>Электроэнергия</t>
  </si>
  <si>
    <t>кВт·ч</t>
  </si>
  <si>
    <t>Газ и пар</t>
  </si>
  <si>
    <t>Природный газ</t>
  </si>
  <si>
    <t>Пар технологический</t>
  </si>
  <si>
    <t>т</t>
  </si>
  <si>
    <t>Вода</t>
  </si>
  <si>
    <t>Вода питьевая / техническая</t>
  </si>
  <si>
    <t>Вода очищенная</t>
  </si>
  <si>
    <t>Сжатый воздух и газы</t>
  </si>
  <si>
    <t>Сжатый воздух</t>
  </si>
  <si>
    <t>Азот / аргон</t>
  </si>
  <si>
    <t>🔵 А6. ОТХОДЫ И УТИЛИЗАЦИЯ  (норма на 1 ед. продукции)</t>
  </si>
  <si>
    <t>Производственные отходы</t>
  </si>
  <si>
    <t>Полимерные обрезки (утилизация)</t>
  </si>
  <si>
    <t>Металлическая стружка (утилизация)</t>
  </si>
  <si>
    <t>Бракованная продукция (утилизация)</t>
  </si>
  <si>
    <t>Опасные отходы</t>
  </si>
  <si>
    <t>Отработанное масло (вывоз)</t>
  </si>
  <si>
    <t>л</t>
  </si>
  <si>
    <t>Загрязнённая ветошь, фильтры</t>
  </si>
  <si>
    <t>Возврат от вторсырья (доход — со знаком минус в цене)</t>
  </si>
  <si>
    <t>Металлолом на сдачу</t>
  </si>
  <si>
    <t>Полимер на переработку</t>
  </si>
  <si>
    <t>🟠 Б1. ОБОРУДОВАНИЕ (АМОРТИЗАЦИЯ)  (норма на период)</t>
  </si>
  <si>
    <t>Амортизация: Цена / Срок службы (в мес) × Период. На 1 ед. = Амортизация / Объём выпуска.</t>
  </si>
  <si>
    <t>Расход за период</t>
  </si>
  <si>
    <t>Срок службы / интервал замены</t>
  </si>
  <si>
    <t>Ед. срока службы</t>
  </si>
  <si>
    <t>Стоимость за период</t>
  </si>
  <si>
    <t>Дата последнего обновления</t>
  </si>
  <si>
    <t>Основное технологическое оборудование</t>
  </si>
  <si>
    <t>Литейная машина (ТПА)</t>
  </si>
  <si>
    <t>мес</t>
  </si>
  <si>
    <t>Экструдер</t>
  </si>
  <si>
    <t>Сборочная линия</t>
  </si>
  <si>
    <t>Вспомогательное оборудование</t>
  </si>
  <si>
    <t>Компрессор</t>
  </si>
  <si>
    <t>Чиллер / охладитель</t>
  </si>
  <si>
    <t>Транспортное и складское оборудование</t>
  </si>
  <si>
    <t>Конвейер</t>
  </si>
  <si>
    <t>Погрузчик / штабелёр</t>
  </si>
  <si>
    <t>+ ДОБАВИТЬ ЕЩЁ ПУНКТ</t>
  </si>
  <si>
    <t>🟠 Б2. ОСНАСТКА И ИНСТРУМЕНТ (ИЗНОС ПО ЦИКЛАМ)  (норма на период)</t>
  </si>
  <si>
    <t>Износ по циклам: Цена / Срок службы (в циклах) = стоимость на 1 ед. продукции.</t>
  </si>
  <si>
    <t>Формообразующая оснастка</t>
  </si>
  <si>
    <t>Пресс-форма</t>
  </si>
  <si>
    <t>циклов</t>
  </si>
  <si>
    <t>Штамп</t>
  </si>
  <si>
    <t>Матрица / пуансон</t>
  </si>
  <si>
    <t>Режущий и обрабатывающий инструмент</t>
  </si>
  <si>
    <t>Фреза</t>
  </si>
  <si>
    <t>Резец</t>
  </si>
  <si>
    <t>Сверло</t>
  </si>
  <si>
    <t>Контрольно-измерительный инструмент</t>
  </si>
  <si>
    <t>Калибр / шаблон</t>
  </si>
  <si>
    <t>🟠 Б3. ЗАПАСНЫЕ ЧАСТИ (ПО ИНТЕРВАЛАМ ТО)  (норма на период)</t>
  </si>
  <si>
    <t>Расход × Цена = Стоимость за период. На 1 ед. продукции = Стоимость / Объём выпуска.</t>
  </si>
  <si>
    <t>Механические запчасти</t>
  </si>
  <si>
    <t>Подшипник</t>
  </si>
  <si>
    <t>Ремень приводной</t>
  </si>
  <si>
    <t>Шестерня</t>
  </si>
  <si>
    <t>Электрические запчасти</t>
  </si>
  <si>
    <t>Нагревательный элемент (ТЭН)</t>
  </si>
  <si>
    <t>Датчик температуры</t>
  </si>
  <si>
    <t>Реле / контактор</t>
  </si>
  <si>
    <t>Пневматика и гидравлика</t>
  </si>
  <si>
    <t>Пневмоцилиндр</t>
  </si>
  <si>
    <t>Уплотнение / сальник</t>
  </si>
  <si>
    <t>🟠 Б4. РАСХОДНИКИ ОБОРУДОВАНИЯ  (норма на период)</t>
  </si>
  <si>
    <t>Смазочные материалы</t>
  </si>
  <si>
    <t>Масло индустриальное</t>
  </si>
  <si>
    <t>Смазка консистентная</t>
  </si>
  <si>
    <t>Технические жидкости</t>
  </si>
  <si>
    <t>СОЖ (смазочно-охлаждающая)</t>
  </si>
  <si>
    <t>Гидравлическая жидкость</t>
  </si>
  <si>
    <t>Фильтры и очистка</t>
  </si>
  <si>
    <t>Фильтр воздушный</t>
  </si>
  <si>
    <t>Фильтр масляный</t>
  </si>
  <si>
    <t>Ветошь, салфетки технические</t>
  </si>
  <si>
    <t>🟠 Б5. МАТЕРИАЛЫ ДЛЯ ТОИР  (норма на период)</t>
  </si>
  <si>
    <t>Уплотнители и герметики</t>
  </si>
  <si>
    <t>Прокладки, сальники</t>
  </si>
  <si>
    <t>Герметик силиконовый</t>
  </si>
  <si>
    <t>тюбик</t>
  </si>
  <si>
    <t>Фум-лента</t>
  </si>
  <si>
    <t>Метизы для ремонта</t>
  </si>
  <si>
    <t>Болты, гайки, шайбы (комплект)</t>
  </si>
  <si>
    <t>компл</t>
  </si>
  <si>
    <t>Краски и антикор</t>
  </si>
  <si>
    <t>Краска для оборудования</t>
  </si>
  <si>
    <t>Грунтовка</t>
  </si>
  <si>
    <t>Электрика для ремонта</t>
  </si>
  <si>
    <t>Кабель / провод</t>
  </si>
  <si>
    <t>Изолента, термоусадка</t>
  </si>
  <si>
    <t>Лампы освещения</t>
  </si>
  <si>
    <t>Сварка и абразивы</t>
  </si>
  <si>
    <t>Сварочные электроды</t>
  </si>
  <si>
    <t>Шлифовальные круги</t>
  </si>
  <si>
    <t>Чистящие средства для оборудования</t>
  </si>
  <si>
    <t>Растворитель / обезжириватель</t>
  </si>
  <si>
    <t>🟠 Б6. СИЗ И САНИТАРИЯ  (норма на период)</t>
  </si>
  <si>
    <t>Средства индивидуальной защиты</t>
  </si>
  <si>
    <t>Перчатки</t>
  </si>
  <si>
    <t>пара</t>
  </si>
  <si>
    <t>Маска / респиратор</t>
  </si>
  <si>
    <t>Защитные очки</t>
  </si>
  <si>
    <t>Бахилы</t>
  </si>
  <si>
    <t>Спецодежда</t>
  </si>
  <si>
    <t>Халат / комбинезон</t>
  </si>
  <si>
    <t>Обувь рабочая</t>
  </si>
  <si>
    <t>Шапочка / косынка</t>
  </si>
  <si>
    <t>Уборка и дезинфекция</t>
  </si>
  <si>
    <t>Моющее средство</t>
  </si>
  <si>
    <t>Дезинфицирующее средство</t>
  </si>
  <si>
    <t>Тряпки / мопы</t>
  </si>
  <si>
    <t>🟠 Б7. УСЛУГИ (АУТСОРС И ПОДРЯД)  (норма на период)</t>
  </si>
  <si>
    <t>Логистика и транспорт</t>
  </si>
  <si>
    <t>Доставка сырья</t>
  </si>
  <si>
    <t>рейс</t>
  </si>
  <si>
    <t>Отгрузка готовой продукции</t>
  </si>
  <si>
    <t>Таможенное оформление</t>
  </si>
  <si>
    <t>декл</t>
  </si>
  <si>
    <t>Сертификация и контроль</t>
  </si>
  <si>
    <t>Сертификация (ISO/ГОСТ)</t>
  </si>
  <si>
    <t>услуга</t>
  </si>
  <si>
    <t>год</t>
  </si>
  <si>
    <t>Лабораторные анализы</t>
  </si>
  <si>
    <t>анализ</t>
  </si>
  <si>
    <t>Поверка КИП</t>
  </si>
  <si>
    <t>прибор</t>
  </si>
  <si>
    <t>Подрядные работы</t>
  </si>
  <si>
    <t>Шеф-монтаж / пусконаладка</t>
  </si>
  <si>
    <t>Сторонний ремонт оборудования</t>
  </si>
  <si>
    <t>Эксплуатационные услуги</t>
  </si>
  <si>
    <t>Клининг цехов</t>
  </si>
  <si>
    <t>Охрана</t>
  </si>
  <si>
    <t>Вывоз бытового мусора</t>
  </si>
  <si>
    <t>Дератизация, дезинсекция</t>
  </si>
  <si>
    <t>IT и связь</t>
  </si>
  <si>
    <t>Интернет, телефония</t>
  </si>
  <si>
    <t>IT-обслуживание (1С, ERP)</t>
  </si>
  <si>
    <t>Лицензии ПО</t>
  </si>
  <si>
    <t>Профессиональные услуги</t>
  </si>
  <si>
    <t>Юридические услуги</t>
  </si>
  <si>
    <t>Бухгалтерский аутсорс</t>
  </si>
  <si>
    <t>Обучение персонала</t>
  </si>
  <si>
    <t>Финансовые</t>
  </si>
  <si>
    <t>Банковское обслуживание</t>
  </si>
  <si>
    <t>Эквайринг</t>
  </si>
  <si>
    <t>Страхование</t>
  </si>
  <si>
    <t>🟠 Б8. ПРОЧИЕ ПОСТОЯННЫЕ ЗАТРАТЫ  (норма на период)</t>
  </si>
  <si>
    <t>Лабораторные и контрольные расходники</t>
  </si>
  <si>
    <t>Реактив для анализа</t>
  </si>
  <si>
    <t>Тест-полоска / индикатор</t>
  </si>
  <si>
    <t>Офис и канцелярия</t>
  </si>
  <si>
    <t>Бумага А4</t>
  </si>
  <si>
    <t>пачка</t>
  </si>
  <si>
    <t>Картридж для принтера</t>
  </si>
  <si>
    <t>Прочее</t>
  </si>
  <si>
    <t>Свой пункт</t>
  </si>
  <si>
    <t>🟢 СВОДНАЯ ТАБЛИЦА — СЕБЕСТОИМОСТЬ 1 ЕДИНИЦЫ ПРОДУКЦИИ</t>
  </si>
  <si>
    <t>Все данные подтягиваются автоматически из листов категорий</t>
  </si>
  <si>
    <t>Продукт:</t>
  </si>
  <si>
    <t>Объём выпуска:</t>
  </si>
  <si>
    <t>Период:</t>
  </si>
  <si>
    <t>Группа</t>
  </si>
  <si>
    <t>Категория</t>
  </si>
  <si>
    <t>Доля в себестоимости</t>
  </si>
  <si>
    <t>А (перем.)</t>
  </si>
  <si>
    <t>А2. Вспомогательные материалы</t>
  </si>
  <si>
    <t>А6. Отходы и утилизация</t>
  </si>
  <si>
    <t>Б (постоян.)</t>
  </si>
  <si>
    <t>Б1. Оборудование (амортизация)</t>
  </si>
  <si>
    <t>Б2. Оснастка (износ по циклам)</t>
  </si>
  <si>
    <t>Б3. Запчасти (ЗИП)</t>
  </si>
  <si>
    <t>Б4. Расходники оборудования</t>
  </si>
  <si>
    <t>ИТОГО ГРУППА А (переменные)</t>
  </si>
  <si>
    <t>ИТОГО ГРУППА Б (постоянные)</t>
  </si>
  <si>
    <t>💰 ПОЛНАЯ СЕБЕСТОИМОСТЬ</t>
  </si>
  <si>
    <t>100%</t>
  </si>
  <si>
    <t>КАК ПОЛЬЗОВАТЬСЯ</t>
  </si>
  <si>
    <t>1. Заполните лист "Продукт" — особенно объём выпуска и длительность периода (это ключи для всех формул).</t>
  </si>
  <si>
    <t>2. Группа А: указывайте норму расхода на 1 единицу продукции (например, 4 г на 1 шприц).</t>
  </si>
  <si>
    <t>3. Группа Б, амортизация (Б1): срок службы в МЕСЯЦАХ, цена за единицу оборудования, кол-во единиц.</t>
  </si>
  <si>
    <t>4. Группа Б, износ по циклам (Б2): срок службы в ЦИКЛАХ (сколько изделий выдержит пресс-форма).</t>
  </si>
  <si>
    <t>5. Группа Б, по периоду (Б3-Б8): сколько штук тратится за период (месяц), цена за единицу.</t>
  </si>
  <si>
    <t>6. Все затраты автоматически сводятся к "стоимости на 1 ед. продукции" — это и есть себестоимость.</t>
  </si>
  <si>
    <t>7. Стоимость за период = себестоимость × объём выпуска (общие производственные затраты).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</si>
</sst>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0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6"/>
      <color rgb="FF1F4E78"/>
      <name val="Arial"/>
      <family val="2"/>
      <charset val="204"/>
    </font>
    <font>
      <i/>
      <sz val="10"/>
      <color rgb="FF808080"/>
      <name val="Arial"/>
      <family val="2"/>
      <charset val="204"/>
    </font>
    <font>
      <b/>
      <sz val="12"/>
      <color rgb="FF1F4E7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i/>
      <sz val="11"/>
      <color rgb="FFB45F06"/>
      <name val="Arial"/>
      <family val="2"/>
      <charset val="204"/>
    </font>
    <font>
      <b/>
      <sz val="16"/>
      <color rgb="FF806000"/>
      <name val="Arial"/>
      <family val="2"/>
      <charset val="204"/>
    </font>
    <font>
      <b/>
      <sz val="16"/>
      <color rgb="FF375623"/>
      <name val="Arial"/>
      <family val="2"/>
      <charset val="204"/>
    </font>
    <font>
      <b/>
      <sz val="12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806000"/>
        <bgColor rgb="FFB45F0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375623"/>
        <bgColor rgb="FF3333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6" fillId="6" borderId="1" xfId="0" applyFont="1" applyFill="1" applyBorder="1"/>
    <xf numFmtId="0" fontId="6" fillId="2" borderId="1" xfId="0" applyFont="1" applyFill="1" applyBorder="1"/>
    <xf numFmtId="0" fontId="10" fillId="0" borderId="0" xfId="0" applyFont="1" applyBorder="1" applyAlignment="1">
      <alignment horizontal="center"/>
    </xf>
    <xf numFmtId="0" fontId="6" fillId="6" borderId="1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center"/>
    </xf>
    <xf numFmtId="0" fontId="6" fillId="3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indent="1"/>
    </xf>
    <xf numFmtId="0" fontId="3" fillId="0" borderId="0" xfId="0" applyFont="1" applyBorder="1"/>
    <xf numFmtId="0" fontId="5" fillId="0" borderId="1" xfId="0" applyFont="1" applyBorder="1"/>
    <xf numFmtId="0" fontId="0" fillId="3" borderId="1" xfId="0" applyFill="1" applyBorder="1"/>
    <xf numFmtId="0" fontId="5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/>
    <xf numFmtId="0" fontId="6" fillId="2" borderId="0" xfId="0" applyFont="1" applyFill="1"/>
    <xf numFmtId="0" fontId="0" fillId="2" borderId="0" xfId="0" applyFill="1"/>
    <xf numFmtId="0" fontId="6" fillId="3" borderId="1" xfId="0" applyFont="1" applyFill="1" applyBorder="1"/>
    <xf numFmtId="0" fontId="0" fillId="3" borderId="1" xfId="0" applyFill="1" applyBorder="1"/>
    <xf numFmtId="0" fontId="6" fillId="0" borderId="1" xfId="0" applyFont="1" applyBorder="1"/>
    <xf numFmtId="0" fontId="3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7" fillId="4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4" fontId="5" fillId="8" borderId="1" xfId="0" applyNumberFormat="1" applyFont="1" applyFill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6" fillId="3" borderId="1" xfId="0" applyNumberFormat="1" applyFont="1" applyFill="1" applyBorder="1"/>
    <xf numFmtId="0" fontId="7" fillId="5" borderId="2" xfId="0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vertical="center" wrapText="1"/>
    </xf>
    <xf numFmtId="165" fontId="6" fillId="3" borderId="1" xfId="0" applyNumberFormat="1" applyFont="1" applyFill="1" applyBorder="1"/>
    <xf numFmtId="0" fontId="6" fillId="0" borderId="0" xfId="0" applyFont="1"/>
    <xf numFmtId="0" fontId="0" fillId="0" borderId="0" xfId="0"/>
    <xf numFmtId="0" fontId="7" fillId="9" borderId="2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6" fillId="2" borderId="1" xfId="0" applyFont="1" applyFill="1" applyBorder="1"/>
    <xf numFmtId="165" fontId="6" fillId="2" borderId="1" xfId="0" applyNumberFormat="1" applyFont="1" applyFill="1" applyBorder="1"/>
    <xf numFmtId="4" fontId="6" fillId="2" borderId="1" xfId="0" applyNumberFormat="1" applyFont="1" applyFill="1" applyBorder="1"/>
    <xf numFmtId="164" fontId="6" fillId="2" borderId="1" xfId="0" applyNumberFormat="1" applyFont="1" applyFill="1" applyBorder="1"/>
    <xf numFmtId="0" fontId="6" fillId="6" borderId="1" xfId="0" applyFont="1" applyFill="1" applyBorder="1"/>
    <xf numFmtId="165" fontId="6" fillId="6" borderId="1" xfId="0" applyNumberFormat="1" applyFont="1" applyFill="1" applyBorder="1"/>
    <xf numFmtId="4" fontId="6" fillId="6" borderId="1" xfId="0" applyNumberFormat="1" applyFont="1" applyFill="1" applyBorder="1"/>
    <xf numFmtId="164" fontId="6" fillId="6" borderId="1" xfId="0" applyNumberFormat="1" applyFont="1" applyFill="1" applyBorder="1"/>
    <xf numFmtId="0" fontId="11" fillId="3" borderId="1" xfId="0" applyFont="1" applyFill="1" applyBorder="1"/>
    <xf numFmtId="165" fontId="11" fillId="3" borderId="1" xfId="0" applyNumberFormat="1" applyFont="1" applyFill="1" applyBorder="1"/>
    <xf numFmtId="4" fontId="11" fillId="3" borderId="1" xfId="0" applyNumberFormat="1" applyFont="1" applyFill="1" applyBorder="1"/>
    <xf numFmtId="164" fontId="11" fillId="3" borderId="1" xfId="0" applyNumberFormat="1" applyFont="1" applyFill="1" applyBorder="1"/>
    <xf numFmtId="0" fontId="11" fillId="3" borderId="1" xfId="0" applyFont="1" applyFill="1" applyBorder="1"/>
    <xf numFmtId="0" fontId="4" fillId="0" borderId="0" xfId="0" applyFont="1" applyBorder="1"/>
    <xf numFmtId="0" fontId="6" fillId="10" borderId="1" xfId="0" applyFont="1" applyFill="1" applyBorder="1"/>
    <xf numFmtId="0" fontId="5" fillId="10" borderId="1" xfId="0" applyFont="1" applyFill="1" applyBorder="1"/>
    <xf numFmtId="0" fontId="3" fillId="10" borderId="1" xfId="0" applyFont="1" applyFill="1" applyBorder="1"/>
    <xf numFmtId="0" fontId="0" fillId="10" borderId="0" xfId="0" applyFill="1"/>
    <xf numFmtId="0" fontId="6" fillId="10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4B4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5F06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opLeftCell="A22" zoomScaleNormal="100" workbookViewId="0">
      <selection activeCell="G37" sqref="G37"/>
    </sheetView>
  </sheetViews>
  <sheetFormatPr defaultColWidth="8.6640625" defaultRowHeight="14.4" x14ac:dyDescent="0.3"/>
  <cols>
    <col min="1" max="1" width="30" customWidth="1"/>
    <col min="2" max="3" width="28" customWidth="1"/>
    <col min="4" max="4" width="16" customWidth="1"/>
  </cols>
  <sheetData>
    <row r="1" spans="1:4" ht="21" x14ac:dyDescent="0.4">
      <c r="A1" s="14" t="s">
        <v>0</v>
      </c>
      <c r="B1" s="14"/>
      <c r="C1" s="14"/>
      <c r="D1" s="14"/>
    </row>
    <row r="2" spans="1:4" x14ac:dyDescent="0.3">
      <c r="A2" s="13" t="s">
        <v>1</v>
      </c>
      <c r="B2" s="13"/>
      <c r="C2" s="13"/>
      <c r="D2" s="13"/>
    </row>
    <row r="4" spans="1:4" ht="15.6" x14ac:dyDescent="0.3">
      <c r="A4" s="15" t="s">
        <v>2</v>
      </c>
    </row>
    <row r="5" spans="1:4" x14ac:dyDescent="0.3">
      <c r="A5" s="12"/>
      <c r="B5" s="12"/>
      <c r="C5" s="12"/>
      <c r="D5" s="12"/>
    </row>
    <row r="6" spans="1:4" x14ac:dyDescent="0.3">
      <c r="A6" s="12" t="s">
        <v>3</v>
      </c>
      <c r="B6" s="12"/>
      <c r="C6" s="12"/>
      <c r="D6" s="12"/>
    </row>
    <row r="7" spans="1:4" x14ac:dyDescent="0.3">
      <c r="A7" s="12"/>
      <c r="B7" s="12"/>
      <c r="C7" s="12"/>
      <c r="D7" s="12"/>
    </row>
    <row r="8" spans="1:4" x14ac:dyDescent="0.3">
      <c r="A8" s="12" t="s">
        <v>4</v>
      </c>
      <c r="B8" s="12"/>
      <c r="C8" s="12"/>
      <c r="D8" s="12"/>
    </row>
    <row r="9" spans="1:4" x14ac:dyDescent="0.3">
      <c r="A9" s="12" t="s">
        <v>5</v>
      </c>
      <c r="B9" s="12"/>
      <c r="C9" s="12"/>
      <c r="D9" s="12"/>
    </row>
    <row r="10" spans="1:4" x14ac:dyDescent="0.3">
      <c r="A10" s="12" t="s">
        <v>6</v>
      </c>
      <c r="B10" s="12"/>
      <c r="C10" s="12"/>
      <c r="D10" s="12"/>
    </row>
    <row r="11" spans="1:4" x14ac:dyDescent="0.3">
      <c r="A11" s="12"/>
      <c r="B11" s="12"/>
      <c r="C11" s="12"/>
      <c r="D11" s="12"/>
    </row>
    <row r="12" spans="1:4" x14ac:dyDescent="0.3">
      <c r="A12" s="12" t="s">
        <v>7</v>
      </c>
      <c r="B12" s="12"/>
      <c r="C12" s="12"/>
      <c r="D12" s="12"/>
    </row>
    <row r="13" spans="1:4" x14ac:dyDescent="0.3">
      <c r="A13" s="12" t="s">
        <v>8</v>
      </c>
      <c r="B13" s="12"/>
      <c r="C13" s="12"/>
      <c r="D13" s="12"/>
    </row>
    <row r="14" spans="1:4" x14ac:dyDescent="0.3">
      <c r="A14" s="12" t="s">
        <v>9</v>
      </c>
      <c r="B14" s="12"/>
      <c r="C14" s="12"/>
      <c r="D14" s="12"/>
    </row>
    <row r="15" spans="1:4" x14ac:dyDescent="0.3">
      <c r="A15" s="12" t="s">
        <v>10</v>
      </c>
      <c r="B15" s="12"/>
      <c r="C15" s="12"/>
      <c r="D15" s="12"/>
    </row>
    <row r="16" spans="1:4" x14ac:dyDescent="0.3">
      <c r="A16" s="12"/>
      <c r="B16" s="12"/>
      <c r="C16" s="12"/>
      <c r="D16" s="12"/>
    </row>
    <row r="17" spans="1:4" x14ac:dyDescent="0.3">
      <c r="A17" s="12" t="s">
        <v>11</v>
      </c>
      <c r="B17" s="12"/>
      <c r="C17" s="12"/>
      <c r="D17" s="12"/>
    </row>
    <row r="20" spans="1:4" ht="15.6" x14ac:dyDescent="0.3">
      <c r="A20" s="15" t="s">
        <v>12</v>
      </c>
    </row>
    <row r="21" spans="1:4" x14ac:dyDescent="0.3">
      <c r="A21" s="16" t="s">
        <v>13</v>
      </c>
      <c r="B21" s="16" t="s">
        <v>14</v>
      </c>
      <c r="C21" s="17"/>
      <c r="D21" s="16" t="s">
        <v>15</v>
      </c>
    </row>
    <row r="22" spans="1:4" x14ac:dyDescent="0.3">
      <c r="A22" s="18" t="s">
        <v>16</v>
      </c>
      <c r="B22" s="11"/>
      <c r="C22" s="11"/>
      <c r="D22" s="19"/>
    </row>
    <row r="23" spans="1:4" x14ac:dyDescent="0.3">
      <c r="A23" s="20" t="s">
        <v>17</v>
      </c>
      <c r="B23" s="10" t="s">
        <v>18</v>
      </c>
      <c r="C23" s="10"/>
      <c r="D23" s="21"/>
    </row>
    <row r="24" spans="1:4" x14ac:dyDescent="0.3">
      <c r="A24" s="18" t="s">
        <v>19</v>
      </c>
      <c r="B24" s="11"/>
      <c r="C24" s="11"/>
      <c r="D24" s="19" t="s">
        <v>20</v>
      </c>
    </row>
    <row r="25" spans="1:4" x14ac:dyDescent="0.3">
      <c r="A25" s="20" t="s">
        <v>21</v>
      </c>
      <c r="B25" s="10" t="s">
        <v>22</v>
      </c>
      <c r="C25" s="10"/>
      <c r="D25" s="21" t="s">
        <v>23</v>
      </c>
    </row>
    <row r="26" spans="1:4" x14ac:dyDescent="0.3">
      <c r="A26" s="20" t="s">
        <v>24</v>
      </c>
      <c r="B26" s="10" t="s">
        <v>25</v>
      </c>
      <c r="C26" s="10"/>
      <c r="D26" s="21" t="s">
        <v>23</v>
      </c>
    </row>
    <row r="27" spans="1:4" x14ac:dyDescent="0.3">
      <c r="A27" s="20" t="s">
        <v>26</v>
      </c>
      <c r="B27" s="10" t="s">
        <v>27</v>
      </c>
      <c r="C27" s="10"/>
      <c r="D27" s="21" t="s">
        <v>23</v>
      </c>
    </row>
    <row r="28" spans="1:4" x14ac:dyDescent="0.3">
      <c r="A28" s="20" t="s">
        <v>28</v>
      </c>
      <c r="B28" s="10" t="s">
        <v>29</v>
      </c>
      <c r="C28" s="10"/>
      <c r="D28" s="21" t="s">
        <v>23</v>
      </c>
    </row>
    <row r="29" spans="1:4" x14ac:dyDescent="0.3">
      <c r="A29" s="20" t="s">
        <v>30</v>
      </c>
      <c r="B29" s="10" t="s">
        <v>31</v>
      </c>
      <c r="C29" s="10"/>
      <c r="D29" s="21" t="s">
        <v>23</v>
      </c>
    </row>
    <row r="30" spans="1:4" x14ac:dyDescent="0.3">
      <c r="A30" s="20" t="s">
        <v>32</v>
      </c>
      <c r="B30" s="10" t="s">
        <v>33</v>
      </c>
      <c r="C30" s="10"/>
      <c r="D30" s="21" t="s">
        <v>34</v>
      </c>
    </row>
    <row r="31" spans="1:4" x14ac:dyDescent="0.3">
      <c r="A31" s="18" t="s">
        <v>35</v>
      </c>
      <c r="B31" s="11"/>
      <c r="C31" s="11"/>
      <c r="D31" s="19" t="s">
        <v>36</v>
      </c>
    </row>
    <row r="32" spans="1:4" x14ac:dyDescent="0.3">
      <c r="A32" s="20" t="s">
        <v>37</v>
      </c>
      <c r="B32" s="10" t="s">
        <v>38</v>
      </c>
      <c r="C32" s="10"/>
      <c r="D32" s="21" t="s">
        <v>39</v>
      </c>
    </row>
    <row r="33" spans="1:4" x14ac:dyDescent="0.3">
      <c r="A33" s="20" t="s">
        <v>40</v>
      </c>
      <c r="B33" s="10" t="s">
        <v>41</v>
      </c>
      <c r="C33" s="10"/>
      <c r="D33" s="21" t="s">
        <v>39</v>
      </c>
    </row>
    <row r="34" spans="1:4" x14ac:dyDescent="0.3">
      <c r="A34" s="20" t="s">
        <v>42</v>
      </c>
      <c r="B34" s="10" t="s">
        <v>43</v>
      </c>
      <c r="C34" s="10"/>
      <c r="D34" s="21" t="s">
        <v>39</v>
      </c>
    </row>
    <row r="35" spans="1:4" x14ac:dyDescent="0.3">
      <c r="A35" s="20" t="s">
        <v>44</v>
      </c>
      <c r="B35" s="10" t="s">
        <v>45</v>
      </c>
      <c r="C35" s="10"/>
      <c r="D35" s="21" t="s">
        <v>39</v>
      </c>
    </row>
    <row r="36" spans="1:4" x14ac:dyDescent="0.3">
      <c r="A36" s="20" t="s">
        <v>46</v>
      </c>
      <c r="B36" s="10" t="s">
        <v>47</v>
      </c>
      <c r="C36" s="10"/>
      <c r="D36" s="21" t="s">
        <v>39</v>
      </c>
    </row>
    <row r="37" spans="1:4" s="62" customFormat="1" x14ac:dyDescent="0.3">
      <c r="A37" s="59" t="s">
        <v>48</v>
      </c>
      <c r="B37" s="60" t="s">
        <v>49</v>
      </c>
      <c r="C37" s="60"/>
      <c r="D37" s="61" t="s">
        <v>39</v>
      </c>
    </row>
    <row r="38" spans="1:4" x14ac:dyDescent="0.3">
      <c r="A38" s="20" t="s">
        <v>50</v>
      </c>
      <c r="B38" s="10" t="s">
        <v>51</v>
      </c>
      <c r="C38" s="10"/>
      <c r="D38" s="21" t="s">
        <v>39</v>
      </c>
    </row>
    <row r="39" spans="1:4" x14ac:dyDescent="0.3">
      <c r="A39" s="20" t="s">
        <v>52</v>
      </c>
      <c r="B39" s="10" t="s">
        <v>53</v>
      </c>
      <c r="C39" s="10"/>
      <c r="D39" s="21" t="s">
        <v>54</v>
      </c>
    </row>
    <row r="40" spans="1:4" x14ac:dyDescent="0.3">
      <c r="A40" s="18" t="s">
        <v>55</v>
      </c>
      <c r="B40" s="11"/>
      <c r="C40" s="11"/>
      <c r="D40" s="19" t="s">
        <v>56</v>
      </c>
    </row>
    <row r="41" spans="1:4" x14ac:dyDescent="0.3">
      <c r="A41" s="20" t="s">
        <v>57</v>
      </c>
      <c r="B41" s="10" t="s">
        <v>58</v>
      </c>
      <c r="C41" s="10"/>
      <c r="D41" s="21"/>
    </row>
    <row r="44" spans="1:4" ht="15.6" x14ac:dyDescent="0.3">
      <c r="A44" s="15" t="s">
        <v>59</v>
      </c>
    </row>
    <row r="45" spans="1:4" x14ac:dyDescent="0.3">
      <c r="A45" s="22"/>
      <c r="B45" s="12" t="s">
        <v>60</v>
      </c>
      <c r="C45" s="12"/>
      <c r="D45" s="12"/>
    </row>
    <row r="46" spans="1:4" x14ac:dyDescent="0.3">
      <c r="A46" s="23"/>
      <c r="B46" s="12" t="s">
        <v>61</v>
      </c>
      <c r="C46" s="12"/>
      <c r="D46" s="12"/>
    </row>
    <row r="47" spans="1:4" x14ac:dyDescent="0.3">
      <c r="A47" s="24"/>
      <c r="B47" s="12" t="s">
        <v>62</v>
      </c>
      <c r="C47" s="12"/>
      <c r="D47" s="12"/>
    </row>
    <row r="48" spans="1:4" x14ac:dyDescent="0.3">
      <c r="A48" s="25"/>
      <c r="B48" s="12" t="s">
        <v>63</v>
      </c>
      <c r="C48" s="12"/>
      <c r="D48" s="12"/>
    </row>
    <row r="49" spans="1:4" x14ac:dyDescent="0.3">
      <c r="A49" s="26"/>
      <c r="B49" s="12" t="s">
        <v>64</v>
      </c>
      <c r="C49" s="12"/>
      <c r="D49" s="12"/>
    </row>
    <row r="50" spans="1:4" x14ac:dyDescent="0.3">
      <c r="A50" s="19"/>
      <c r="B50" s="12" t="s">
        <v>65</v>
      </c>
      <c r="C50" s="12"/>
      <c r="D50" s="12"/>
    </row>
    <row r="51" spans="1:4" x14ac:dyDescent="0.3">
      <c r="A51" s="27"/>
      <c r="B51" s="12" t="s">
        <v>66</v>
      </c>
      <c r="C51" s="12"/>
      <c r="D51" s="12"/>
    </row>
  </sheetData>
  <mergeCells count="42">
    <mergeCell ref="B50:D50"/>
    <mergeCell ref="B51:D51"/>
    <mergeCell ref="B45:D45"/>
    <mergeCell ref="B46:D46"/>
    <mergeCell ref="B47:D47"/>
    <mergeCell ref="B48:D48"/>
    <mergeCell ref="B49:D49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A13:D13"/>
    <mergeCell ref="A14:D14"/>
    <mergeCell ref="A15:D15"/>
    <mergeCell ref="A16:D16"/>
    <mergeCell ref="A17:D17"/>
    <mergeCell ref="A8:D8"/>
    <mergeCell ref="A9:D9"/>
    <mergeCell ref="A10:D10"/>
    <mergeCell ref="A11:D11"/>
    <mergeCell ref="A12:D12"/>
    <mergeCell ref="A1:D1"/>
    <mergeCell ref="A2:D2"/>
    <mergeCell ref="A5:D5"/>
    <mergeCell ref="A6:D6"/>
    <mergeCell ref="A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Normal="100" workbookViewId="0">
      <selection activeCell="B7" sqref="B7"/>
    </sheetView>
  </sheetViews>
  <sheetFormatPr defaultColWidth="8.6640625" defaultRowHeight="14.4" x14ac:dyDescent="0.3"/>
  <cols>
    <col min="1" max="1" width="40" customWidth="1"/>
    <col min="2" max="2" width="22" customWidth="1"/>
    <col min="3" max="3" width="50" customWidth="1"/>
  </cols>
  <sheetData>
    <row r="1" spans="1:3" ht="21" x14ac:dyDescent="0.4">
      <c r="A1" s="14" t="s">
        <v>67</v>
      </c>
      <c r="B1" s="14"/>
      <c r="C1" s="14"/>
    </row>
    <row r="3" spans="1:3" x14ac:dyDescent="0.3">
      <c r="A3" s="28" t="s">
        <v>68</v>
      </c>
      <c r="B3" s="28" t="s">
        <v>69</v>
      </c>
      <c r="C3" s="28" t="s">
        <v>70</v>
      </c>
    </row>
    <row r="4" spans="1:3" x14ac:dyDescent="0.3">
      <c r="A4" s="29" t="s">
        <v>71</v>
      </c>
      <c r="B4" s="30"/>
      <c r="C4" s="31" t="s">
        <v>72</v>
      </c>
    </row>
    <row r="5" spans="1:3" x14ac:dyDescent="0.3">
      <c r="A5" s="29" t="s">
        <v>73</v>
      </c>
      <c r="B5" s="30"/>
      <c r="C5" s="31"/>
    </row>
    <row r="6" spans="1:3" x14ac:dyDescent="0.3">
      <c r="A6" s="29" t="s">
        <v>74</v>
      </c>
      <c r="B6" s="30" t="s">
        <v>75</v>
      </c>
      <c r="C6" s="31" t="s">
        <v>76</v>
      </c>
    </row>
    <row r="7" spans="1:3" ht="26.4" x14ac:dyDescent="0.3">
      <c r="A7" s="29" t="s">
        <v>77</v>
      </c>
      <c r="B7" s="30">
        <v>100000</v>
      </c>
      <c r="C7" s="31" t="s">
        <v>78</v>
      </c>
    </row>
    <row r="8" spans="1:3" x14ac:dyDescent="0.3">
      <c r="A8" s="29" t="s">
        <v>79</v>
      </c>
      <c r="B8" s="30" t="s">
        <v>80</v>
      </c>
      <c r="C8" s="31"/>
    </row>
    <row r="9" spans="1:3" x14ac:dyDescent="0.3">
      <c r="A9" s="29" t="s">
        <v>81</v>
      </c>
      <c r="B9" s="30">
        <v>1</v>
      </c>
      <c r="C9" s="31" t="s">
        <v>82</v>
      </c>
    </row>
    <row r="10" spans="1:3" x14ac:dyDescent="0.3">
      <c r="A10" s="29" t="s">
        <v>83</v>
      </c>
      <c r="B10" s="30">
        <v>22</v>
      </c>
      <c r="C10" s="31" t="s">
        <v>84</v>
      </c>
    </row>
    <row r="11" spans="1:3" x14ac:dyDescent="0.3">
      <c r="A11" s="29" t="s">
        <v>85</v>
      </c>
      <c r="B11" s="30">
        <v>176</v>
      </c>
      <c r="C11" s="31" t="s">
        <v>86</v>
      </c>
    </row>
    <row r="12" spans="1:3" s="62" customFormat="1" ht="26.4" x14ac:dyDescent="0.3">
      <c r="A12" s="63" t="s">
        <v>87</v>
      </c>
      <c r="B12" s="64">
        <v>10</v>
      </c>
      <c r="C12" s="65" t="s">
        <v>88</v>
      </c>
    </row>
    <row r="13" spans="1:3" x14ac:dyDescent="0.3">
      <c r="A13" s="29" t="s">
        <v>89</v>
      </c>
      <c r="B13" s="30">
        <v>5</v>
      </c>
      <c r="C13" s="31" t="s">
        <v>90</v>
      </c>
    </row>
    <row r="14" spans="1:3" x14ac:dyDescent="0.3">
      <c r="A14" s="29" t="s">
        <v>91</v>
      </c>
      <c r="B14" s="30"/>
      <c r="C14" s="31"/>
    </row>
    <row r="15" spans="1:3" x14ac:dyDescent="0.3">
      <c r="A15" s="29" t="s">
        <v>92</v>
      </c>
      <c r="B15" s="30"/>
      <c r="C15" s="31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5"/>
  <sheetViews>
    <sheetView zoomScaleNormal="100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L6" sqref="L6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6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4" t="s">
        <v>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3">
      <c r="A2" s="9" t="s">
        <v>94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4" spans="1:15" ht="45" customHeight="1" x14ac:dyDescent="0.3">
      <c r="A4" s="28" t="s">
        <v>95</v>
      </c>
      <c r="B4" s="28" t="s">
        <v>96</v>
      </c>
      <c r="C4" s="28" t="s">
        <v>97</v>
      </c>
      <c r="D4" s="28" t="s">
        <v>98</v>
      </c>
      <c r="E4" s="28" t="s">
        <v>99</v>
      </c>
      <c r="F4" s="28" t="s">
        <v>100</v>
      </c>
      <c r="G4" s="28" t="s">
        <v>101</v>
      </c>
      <c r="H4" s="28" t="s">
        <v>102</v>
      </c>
      <c r="I4" s="28" t="s">
        <v>103</v>
      </c>
      <c r="J4" s="28" t="s">
        <v>104</v>
      </c>
      <c r="K4" s="28" t="s">
        <v>105</v>
      </c>
      <c r="L4" s="28" t="s">
        <v>106</v>
      </c>
      <c r="M4" s="28" t="s">
        <v>107</v>
      </c>
      <c r="N4" s="28" t="s">
        <v>108</v>
      </c>
      <c r="O4" s="28" t="s">
        <v>109</v>
      </c>
    </row>
    <row r="5" spans="1:15" x14ac:dyDescent="0.3">
      <c r="A5" s="8" t="s">
        <v>110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26.4" x14ac:dyDescent="0.3">
      <c r="A6" s="32">
        <v>1</v>
      </c>
      <c r="B6" s="32" t="s">
        <v>110</v>
      </c>
      <c r="C6" s="32" t="s">
        <v>111</v>
      </c>
      <c r="D6" s="32"/>
      <c r="E6" s="32" t="s">
        <v>112</v>
      </c>
      <c r="F6" s="30"/>
      <c r="G6" s="33"/>
      <c r="H6" s="32" t="str">
        <f t="shared" ref="H6:H12" si="0">IF(F6="","",F6*(1+IFERROR(G6,0)))</f>
        <v/>
      </c>
      <c r="I6" s="34"/>
      <c r="J6" s="35" t="str">
        <f t="shared" ref="J6:J12" si="1">IFERROR(H6*I6,"")</f>
        <v/>
      </c>
      <c r="K6" s="35" t="str">
        <f>IFERROR(J6*Продукт!B7,"")</f>
        <v/>
      </c>
      <c r="L6" s="32"/>
      <c r="M6" s="32"/>
      <c r="N6" s="32"/>
      <c r="O6" s="32"/>
    </row>
    <row r="7" spans="1:15" ht="26.4" x14ac:dyDescent="0.3">
      <c r="A7" s="32">
        <v>2</v>
      </c>
      <c r="B7" s="32" t="s">
        <v>110</v>
      </c>
      <c r="C7" s="32" t="s">
        <v>113</v>
      </c>
      <c r="D7" s="32"/>
      <c r="E7" s="32" t="s">
        <v>112</v>
      </c>
      <c r="F7" s="30"/>
      <c r="G7" s="33"/>
      <c r="H7" s="32" t="str">
        <f t="shared" si="0"/>
        <v/>
      </c>
      <c r="I7" s="34"/>
      <c r="J7" s="35" t="str">
        <f t="shared" si="1"/>
        <v/>
      </c>
      <c r="K7" s="35" t="str">
        <f>IFERROR(J7*Продукт!B7,"")</f>
        <v/>
      </c>
      <c r="L7" s="32"/>
      <c r="M7" s="32"/>
      <c r="N7" s="32"/>
      <c r="O7" s="32"/>
    </row>
    <row r="8" spans="1:15" ht="26.4" x14ac:dyDescent="0.3">
      <c r="A8" s="32">
        <v>3</v>
      </c>
      <c r="B8" s="32" t="s">
        <v>110</v>
      </c>
      <c r="C8" s="32"/>
      <c r="D8" s="32"/>
      <c r="E8" s="32"/>
      <c r="F8" s="30"/>
      <c r="G8" s="33"/>
      <c r="H8" s="32" t="str">
        <f t="shared" si="0"/>
        <v/>
      </c>
      <c r="I8" s="34"/>
      <c r="J8" s="35" t="str">
        <f t="shared" si="1"/>
        <v/>
      </c>
      <c r="K8" s="35" t="str">
        <f>IFERROR(J8*Продукт!B7,"")</f>
        <v/>
      </c>
      <c r="L8" s="32"/>
      <c r="M8" s="32"/>
      <c r="N8" s="32"/>
      <c r="O8" s="32"/>
    </row>
    <row r="9" spans="1:15" ht="26.4" x14ac:dyDescent="0.3">
      <c r="A9" s="32">
        <v>4</v>
      </c>
      <c r="B9" s="32" t="s">
        <v>110</v>
      </c>
      <c r="C9" s="32"/>
      <c r="D9" s="32"/>
      <c r="E9" s="32"/>
      <c r="F9" s="30"/>
      <c r="G9" s="33"/>
      <c r="H9" s="32" t="str">
        <f t="shared" si="0"/>
        <v/>
      </c>
      <c r="I9" s="34"/>
      <c r="J9" s="35" t="str">
        <f t="shared" si="1"/>
        <v/>
      </c>
      <c r="K9" s="35" t="str">
        <f>IFERROR(J9*Продукт!B7,"")</f>
        <v/>
      </c>
      <c r="L9" s="32"/>
      <c r="M9" s="32"/>
      <c r="N9" s="32"/>
      <c r="O9" s="32"/>
    </row>
    <row r="10" spans="1:15" ht="26.4" x14ac:dyDescent="0.3">
      <c r="A10" s="32">
        <v>5</v>
      </c>
      <c r="B10" s="32" t="s">
        <v>110</v>
      </c>
      <c r="C10" s="32"/>
      <c r="D10" s="32"/>
      <c r="E10" s="32"/>
      <c r="F10" s="30"/>
      <c r="G10" s="33"/>
      <c r="H10" s="32" t="str">
        <f t="shared" si="0"/>
        <v/>
      </c>
      <c r="I10" s="34"/>
      <c r="J10" s="35" t="str">
        <f t="shared" si="1"/>
        <v/>
      </c>
      <c r="K10" s="35" t="str">
        <f>IFERROR(J10*Продукт!B7,"")</f>
        <v/>
      </c>
      <c r="L10" s="32"/>
      <c r="M10" s="32"/>
      <c r="N10" s="32"/>
      <c r="O10" s="32"/>
    </row>
    <row r="11" spans="1:15" ht="26.4" x14ac:dyDescent="0.3">
      <c r="A11" s="32">
        <v>6</v>
      </c>
      <c r="B11" s="32" t="s">
        <v>110</v>
      </c>
      <c r="C11" s="32"/>
      <c r="D11" s="32"/>
      <c r="E11" s="32"/>
      <c r="F11" s="30"/>
      <c r="G11" s="33"/>
      <c r="H11" s="32" t="str">
        <f t="shared" si="0"/>
        <v/>
      </c>
      <c r="I11" s="34"/>
      <c r="J11" s="35" t="str">
        <f t="shared" si="1"/>
        <v/>
      </c>
      <c r="K11" s="35" t="str">
        <f>IFERROR(J11*Продукт!B7,"")</f>
        <v/>
      </c>
      <c r="L11" s="32"/>
      <c r="M11" s="32"/>
      <c r="N11" s="32"/>
      <c r="O11" s="32"/>
    </row>
    <row r="12" spans="1:15" ht="26.4" x14ac:dyDescent="0.3">
      <c r="A12" s="32">
        <v>7</v>
      </c>
      <c r="B12" s="32" t="s">
        <v>110</v>
      </c>
      <c r="C12" s="32"/>
      <c r="D12" s="32"/>
      <c r="E12" s="32"/>
      <c r="F12" s="30"/>
      <c r="G12" s="33"/>
      <c r="H12" s="32" t="str">
        <f t="shared" si="0"/>
        <v/>
      </c>
      <c r="I12" s="34"/>
      <c r="J12" s="35" t="str">
        <f t="shared" si="1"/>
        <v/>
      </c>
      <c r="K12" s="35" t="str">
        <f>IFERROR(J12*Продукт!B7,"")</f>
        <v/>
      </c>
      <c r="L12" s="32"/>
      <c r="M12" s="32"/>
      <c r="N12" s="32"/>
      <c r="O12" s="32"/>
    </row>
    <row r="13" spans="1:15" x14ac:dyDescent="0.3">
      <c r="A13" s="8" t="s">
        <v>114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3">
      <c r="A14" s="32">
        <v>8</v>
      </c>
      <c r="B14" s="32" t="s">
        <v>114</v>
      </c>
      <c r="C14" s="32" t="s">
        <v>115</v>
      </c>
      <c r="D14" s="32"/>
      <c r="E14" s="32" t="s">
        <v>112</v>
      </c>
      <c r="F14" s="30"/>
      <c r="G14" s="33"/>
      <c r="H14" s="32" t="str">
        <f t="shared" ref="H14:H19" si="2">IF(F14="","",F14*(1+IFERROR(G14,0)))</f>
        <v/>
      </c>
      <c r="I14" s="34"/>
      <c r="J14" s="35" t="str">
        <f t="shared" ref="J14:J19" si="3">IFERROR(H14*I14,"")</f>
        <v/>
      </c>
      <c r="K14" s="35" t="str">
        <f>IFERROR(J14*Продукт!B7,"")</f>
        <v/>
      </c>
      <c r="L14" s="32"/>
      <c r="M14" s="32"/>
      <c r="N14" s="32"/>
      <c r="O14" s="32"/>
    </row>
    <row r="15" spans="1:15" x14ac:dyDescent="0.3">
      <c r="A15" s="32">
        <v>9</v>
      </c>
      <c r="B15" s="32" t="s">
        <v>114</v>
      </c>
      <c r="C15" s="32"/>
      <c r="D15" s="32"/>
      <c r="E15" s="32"/>
      <c r="F15" s="30"/>
      <c r="G15" s="33"/>
      <c r="H15" s="32" t="str">
        <f t="shared" si="2"/>
        <v/>
      </c>
      <c r="I15" s="34"/>
      <c r="J15" s="35" t="str">
        <f t="shared" si="3"/>
        <v/>
      </c>
      <c r="K15" s="35" t="str">
        <f>IFERROR(J15*Продукт!B7,"")</f>
        <v/>
      </c>
      <c r="L15" s="32"/>
      <c r="M15" s="32"/>
      <c r="N15" s="32"/>
      <c r="O15" s="32"/>
    </row>
    <row r="16" spans="1:15" x14ac:dyDescent="0.3">
      <c r="A16" s="32">
        <v>10</v>
      </c>
      <c r="B16" s="32" t="s">
        <v>114</v>
      </c>
      <c r="C16" s="32"/>
      <c r="D16" s="32"/>
      <c r="E16" s="32"/>
      <c r="F16" s="30"/>
      <c r="G16" s="33"/>
      <c r="H16" s="32" t="str">
        <f t="shared" si="2"/>
        <v/>
      </c>
      <c r="I16" s="34"/>
      <c r="J16" s="35" t="str">
        <f t="shared" si="3"/>
        <v/>
      </c>
      <c r="K16" s="35" t="str">
        <f>IFERROR(J16*Продукт!B7,"")</f>
        <v/>
      </c>
      <c r="L16" s="32"/>
      <c r="M16" s="32"/>
      <c r="N16" s="32"/>
      <c r="O16" s="32"/>
    </row>
    <row r="17" spans="1:15" x14ac:dyDescent="0.3">
      <c r="A17" s="32">
        <v>11</v>
      </c>
      <c r="B17" s="32" t="s">
        <v>114</v>
      </c>
      <c r="C17" s="32"/>
      <c r="D17" s="32"/>
      <c r="E17" s="32"/>
      <c r="F17" s="30"/>
      <c r="G17" s="33"/>
      <c r="H17" s="32" t="str">
        <f t="shared" si="2"/>
        <v/>
      </c>
      <c r="I17" s="34"/>
      <c r="J17" s="35" t="str">
        <f t="shared" si="3"/>
        <v/>
      </c>
      <c r="K17" s="35" t="str">
        <f>IFERROR(J17*Продукт!B7,"")</f>
        <v/>
      </c>
      <c r="L17" s="32"/>
      <c r="M17" s="32"/>
      <c r="N17" s="32"/>
      <c r="O17" s="32"/>
    </row>
    <row r="18" spans="1:15" x14ac:dyDescent="0.3">
      <c r="A18" s="32">
        <v>12</v>
      </c>
      <c r="B18" s="32" t="s">
        <v>114</v>
      </c>
      <c r="C18" s="32"/>
      <c r="D18" s="32"/>
      <c r="E18" s="32"/>
      <c r="F18" s="30"/>
      <c r="G18" s="33"/>
      <c r="H18" s="32" t="str">
        <f t="shared" si="2"/>
        <v/>
      </c>
      <c r="I18" s="34"/>
      <c r="J18" s="35" t="str">
        <f t="shared" si="3"/>
        <v/>
      </c>
      <c r="K18" s="35" t="str">
        <f>IFERROR(J18*Продукт!B7,"")</f>
        <v/>
      </c>
      <c r="L18" s="32"/>
      <c r="M18" s="32"/>
      <c r="N18" s="32"/>
      <c r="O18" s="32"/>
    </row>
    <row r="19" spans="1:15" x14ac:dyDescent="0.3">
      <c r="A19" s="32">
        <v>13</v>
      </c>
      <c r="B19" s="32" t="s">
        <v>114</v>
      </c>
      <c r="C19" s="32"/>
      <c r="D19" s="32"/>
      <c r="E19" s="32"/>
      <c r="F19" s="30"/>
      <c r="G19" s="33"/>
      <c r="H19" s="32" t="str">
        <f t="shared" si="2"/>
        <v/>
      </c>
      <c r="I19" s="34"/>
      <c r="J19" s="35" t="str">
        <f t="shared" si="3"/>
        <v/>
      </c>
      <c r="K19" s="35" t="str">
        <f>IFERROR(J19*Продукт!B7,"")</f>
        <v/>
      </c>
      <c r="L19" s="32"/>
      <c r="M19" s="32"/>
      <c r="N19" s="32"/>
      <c r="O19" s="32"/>
    </row>
    <row r="20" spans="1:15" x14ac:dyDescent="0.3">
      <c r="A20" s="8" t="s">
        <v>116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3">
      <c r="A21" s="32">
        <v>14</v>
      </c>
      <c r="B21" s="32" t="s">
        <v>116</v>
      </c>
      <c r="C21" s="32" t="s">
        <v>117</v>
      </c>
      <c r="D21" s="32"/>
      <c r="E21" s="32" t="s">
        <v>118</v>
      </c>
      <c r="F21" s="30"/>
      <c r="G21" s="33"/>
      <c r="H21" s="32" t="str">
        <f t="shared" ref="H21:H26" si="4">IF(F21="","",F21*(1+IFERROR(G21,0)))</f>
        <v/>
      </c>
      <c r="I21" s="34"/>
      <c r="J21" s="35" t="str">
        <f t="shared" ref="J21:J26" si="5">IFERROR(H21*I21,"")</f>
        <v/>
      </c>
      <c r="K21" s="35" t="str">
        <f>IFERROR(J21*Продукт!B7,"")</f>
        <v/>
      </c>
      <c r="L21" s="32"/>
      <c r="M21" s="32"/>
      <c r="N21" s="32"/>
      <c r="O21" s="32"/>
    </row>
    <row r="22" spans="1:15" x14ac:dyDescent="0.3">
      <c r="A22" s="32">
        <v>15</v>
      </c>
      <c r="B22" s="32" t="s">
        <v>116</v>
      </c>
      <c r="C22" s="32"/>
      <c r="D22" s="32"/>
      <c r="E22" s="32"/>
      <c r="F22" s="30"/>
      <c r="G22" s="33"/>
      <c r="H22" s="32" t="str">
        <f t="shared" si="4"/>
        <v/>
      </c>
      <c r="I22" s="34"/>
      <c r="J22" s="35" t="str">
        <f t="shared" si="5"/>
        <v/>
      </c>
      <c r="K22" s="35" t="str">
        <f>IFERROR(J22*Продукт!B7,"")</f>
        <v/>
      </c>
      <c r="L22" s="32"/>
      <c r="M22" s="32"/>
      <c r="N22" s="32"/>
      <c r="O22" s="32"/>
    </row>
    <row r="23" spans="1:15" x14ac:dyDescent="0.3">
      <c r="A23" s="32">
        <v>16</v>
      </c>
      <c r="B23" s="32" t="s">
        <v>116</v>
      </c>
      <c r="C23" s="32"/>
      <c r="D23" s="32"/>
      <c r="E23" s="32"/>
      <c r="F23" s="30"/>
      <c r="G23" s="33"/>
      <c r="H23" s="32" t="str">
        <f t="shared" si="4"/>
        <v/>
      </c>
      <c r="I23" s="34"/>
      <c r="J23" s="35" t="str">
        <f t="shared" si="5"/>
        <v/>
      </c>
      <c r="K23" s="35" t="str">
        <f>IFERROR(J23*Продукт!B7,"")</f>
        <v/>
      </c>
      <c r="L23" s="32"/>
      <c r="M23" s="32"/>
      <c r="N23" s="32"/>
      <c r="O23" s="32"/>
    </row>
    <row r="24" spans="1:15" x14ac:dyDescent="0.3">
      <c r="A24" s="32">
        <v>17</v>
      </c>
      <c r="B24" s="32" t="s">
        <v>116</v>
      </c>
      <c r="C24" s="32"/>
      <c r="D24" s="32"/>
      <c r="E24" s="32"/>
      <c r="F24" s="30"/>
      <c r="G24" s="33"/>
      <c r="H24" s="32" t="str">
        <f t="shared" si="4"/>
        <v/>
      </c>
      <c r="I24" s="34"/>
      <c r="J24" s="35" t="str">
        <f t="shared" si="5"/>
        <v/>
      </c>
      <c r="K24" s="35" t="str">
        <f>IFERROR(J24*Продукт!B7,"")</f>
        <v/>
      </c>
      <c r="L24" s="32"/>
      <c r="M24" s="32"/>
      <c r="N24" s="32"/>
      <c r="O24" s="32"/>
    </row>
    <row r="25" spans="1:15" x14ac:dyDescent="0.3">
      <c r="A25" s="32">
        <v>18</v>
      </c>
      <c r="B25" s="32" t="s">
        <v>116</v>
      </c>
      <c r="C25" s="32"/>
      <c r="D25" s="32"/>
      <c r="E25" s="32"/>
      <c r="F25" s="30"/>
      <c r="G25" s="33"/>
      <c r="H25" s="32" t="str">
        <f t="shared" si="4"/>
        <v/>
      </c>
      <c r="I25" s="34"/>
      <c r="J25" s="35" t="str">
        <f t="shared" si="5"/>
        <v/>
      </c>
      <c r="K25" s="35" t="str">
        <f>IFERROR(J25*Продукт!B7,"")</f>
        <v/>
      </c>
      <c r="L25" s="32"/>
      <c r="M25" s="32"/>
      <c r="N25" s="32"/>
      <c r="O25" s="32"/>
    </row>
    <row r="26" spans="1:15" x14ac:dyDescent="0.3">
      <c r="A26" s="32">
        <v>19</v>
      </c>
      <c r="B26" s="32" t="s">
        <v>116</v>
      </c>
      <c r="C26" s="32"/>
      <c r="D26" s="32"/>
      <c r="E26" s="32"/>
      <c r="F26" s="30"/>
      <c r="G26" s="33"/>
      <c r="H26" s="32" t="str">
        <f t="shared" si="4"/>
        <v/>
      </c>
      <c r="I26" s="34"/>
      <c r="J26" s="35" t="str">
        <f t="shared" si="5"/>
        <v/>
      </c>
      <c r="K26" s="35" t="str">
        <f>IFERROR(J26*Продукт!B7,"")</f>
        <v/>
      </c>
      <c r="L26" s="32"/>
      <c r="M26" s="32"/>
      <c r="N26" s="32"/>
      <c r="O26" s="32"/>
    </row>
    <row r="27" spans="1:15" x14ac:dyDescent="0.3">
      <c r="A27" s="8" t="s">
        <v>119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3">
      <c r="A28" s="32">
        <v>20</v>
      </c>
      <c r="B28" s="32" t="s">
        <v>119</v>
      </c>
      <c r="C28" s="32" t="s">
        <v>120</v>
      </c>
      <c r="D28" s="32"/>
      <c r="E28" s="32" t="s">
        <v>121</v>
      </c>
      <c r="F28" s="30"/>
      <c r="G28" s="33"/>
      <c r="H28" s="32" t="str">
        <f t="shared" ref="H28:H33" si="6">IF(F28="","",F28*(1+IFERROR(G28,0)))</f>
        <v/>
      </c>
      <c r="I28" s="34"/>
      <c r="J28" s="35" t="str">
        <f t="shared" ref="J28:J33" si="7">IFERROR(H28*I28,"")</f>
        <v/>
      </c>
      <c r="K28" s="35" t="str">
        <f>IFERROR(J28*Продукт!B7,"")</f>
        <v/>
      </c>
      <c r="L28" s="32"/>
      <c r="M28" s="32"/>
      <c r="N28" s="32"/>
      <c r="O28" s="32"/>
    </row>
    <row r="29" spans="1:15" x14ac:dyDescent="0.3">
      <c r="A29" s="32">
        <v>21</v>
      </c>
      <c r="B29" s="32" t="s">
        <v>119</v>
      </c>
      <c r="C29" s="32"/>
      <c r="D29" s="32"/>
      <c r="E29" s="32"/>
      <c r="F29" s="30"/>
      <c r="G29" s="33"/>
      <c r="H29" s="32" t="str">
        <f t="shared" si="6"/>
        <v/>
      </c>
      <c r="I29" s="34"/>
      <c r="J29" s="35" t="str">
        <f t="shared" si="7"/>
        <v/>
      </c>
      <c r="K29" s="35" t="str">
        <f>IFERROR(J29*Продукт!B7,"")</f>
        <v/>
      </c>
      <c r="L29" s="32"/>
      <c r="M29" s="32"/>
      <c r="N29" s="32"/>
      <c r="O29" s="32"/>
    </row>
    <row r="30" spans="1:15" x14ac:dyDescent="0.3">
      <c r="A30" s="32">
        <v>22</v>
      </c>
      <c r="B30" s="32" t="s">
        <v>119</v>
      </c>
      <c r="C30" s="32"/>
      <c r="D30" s="32"/>
      <c r="E30" s="32"/>
      <c r="F30" s="30"/>
      <c r="G30" s="33"/>
      <c r="H30" s="32" t="str">
        <f t="shared" si="6"/>
        <v/>
      </c>
      <c r="I30" s="34"/>
      <c r="J30" s="35" t="str">
        <f t="shared" si="7"/>
        <v/>
      </c>
      <c r="K30" s="35" t="str">
        <f>IFERROR(J30*Продукт!B7,"")</f>
        <v/>
      </c>
      <c r="L30" s="32"/>
      <c r="M30" s="32"/>
      <c r="N30" s="32"/>
      <c r="O30" s="32"/>
    </row>
    <row r="31" spans="1:15" x14ac:dyDescent="0.3">
      <c r="A31" s="32">
        <v>23</v>
      </c>
      <c r="B31" s="32" t="s">
        <v>119</v>
      </c>
      <c r="C31" s="32"/>
      <c r="D31" s="32"/>
      <c r="E31" s="32"/>
      <c r="F31" s="30"/>
      <c r="G31" s="33"/>
      <c r="H31" s="32" t="str">
        <f t="shared" si="6"/>
        <v/>
      </c>
      <c r="I31" s="34"/>
      <c r="J31" s="35" t="str">
        <f t="shared" si="7"/>
        <v/>
      </c>
      <c r="K31" s="35" t="str">
        <f>IFERROR(J31*Продукт!B7,"")</f>
        <v/>
      </c>
      <c r="L31" s="32"/>
      <c r="M31" s="32"/>
      <c r="N31" s="32"/>
      <c r="O31" s="32"/>
    </row>
    <row r="32" spans="1:15" x14ac:dyDescent="0.3">
      <c r="A32" s="32">
        <v>24</v>
      </c>
      <c r="B32" s="32" t="s">
        <v>119</v>
      </c>
      <c r="C32" s="32"/>
      <c r="D32" s="32"/>
      <c r="E32" s="32"/>
      <c r="F32" s="30"/>
      <c r="G32" s="33"/>
      <c r="H32" s="32" t="str">
        <f t="shared" si="6"/>
        <v/>
      </c>
      <c r="I32" s="34"/>
      <c r="J32" s="35" t="str">
        <f t="shared" si="7"/>
        <v/>
      </c>
      <c r="K32" s="35" t="str">
        <f>IFERROR(J32*Продукт!B7,"")</f>
        <v/>
      </c>
      <c r="L32" s="32"/>
      <c r="M32" s="32"/>
      <c r="N32" s="32"/>
      <c r="O32" s="32"/>
    </row>
    <row r="33" spans="1:15" x14ac:dyDescent="0.3">
      <c r="A33" s="32">
        <v>25</v>
      </c>
      <c r="B33" s="32" t="s">
        <v>119</v>
      </c>
      <c r="C33" s="32"/>
      <c r="D33" s="32"/>
      <c r="E33" s="32"/>
      <c r="F33" s="30"/>
      <c r="G33" s="33"/>
      <c r="H33" s="32" t="str">
        <f t="shared" si="6"/>
        <v/>
      </c>
      <c r="I33" s="34"/>
      <c r="J33" s="35" t="str">
        <f t="shared" si="7"/>
        <v/>
      </c>
      <c r="K33" s="35" t="str">
        <f>IFERROR(J33*Продукт!B7,"")</f>
        <v/>
      </c>
      <c r="L33" s="32"/>
      <c r="M33" s="32"/>
      <c r="N33" s="32"/>
      <c r="O33" s="32"/>
    </row>
    <row r="34" spans="1:15" x14ac:dyDescent="0.3">
      <c r="A34" s="8" t="s">
        <v>122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3">
      <c r="A35" s="32">
        <v>26</v>
      </c>
      <c r="B35" s="32" t="s">
        <v>122</v>
      </c>
      <c r="C35" s="32" t="s">
        <v>123</v>
      </c>
      <c r="D35" s="32"/>
      <c r="E35" s="32" t="s">
        <v>112</v>
      </c>
      <c r="F35" s="30"/>
      <c r="G35" s="33"/>
      <c r="H35" s="32" t="str">
        <f t="shared" ref="H35:H40" si="8">IF(F35="","",F35*(1+IFERROR(G35,0)))</f>
        <v/>
      </c>
      <c r="I35" s="34"/>
      <c r="J35" s="35" t="str">
        <f t="shared" ref="J35:J40" si="9">IFERROR(H35*I35,"")</f>
        <v/>
      </c>
      <c r="K35" s="35" t="str">
        <f>IFERROR(J35*Продукт!B7,"")</f>
        <v/>
      </c>
      <c r="L35" s="32"/>
      <c r="M35" s="32"/>
      <c r="N35" s="32"/>
      <c r="O35" s="32"/>
    </row>
    <row r="36" spans="1:15" x14ac:dyDescent="0.3">
      <c r="A36" s="32">
        <v>27</v>
      </c>
      <c r="B36" s="32" t="s">
        <v>122</v>
      </c>
      <c r="C36" s="32"/>
      <c r="D36" s="32"/>
      <c r="E36" s="32"/>
      <c r="F36" s="30"/>
      <c r="G36" s="33"/>
      <c r="H36" s="32" t="str">
        <f t="shared" si="8"/>
        <v/>
      </c>
      <c r="I36" s="34"/>
      <c r="J36" s="35" t="str">
        <f t="shared" si="9"/>
        <v/>
      </c>
      <c r="K36" s="35" t="str">
        <f>IFERROR(J36*Продукт!B7,"")</f>
        <v/>
      </c>
      <c r="L36" s="32"/>
      <c r="M36" s="32"/>
      <c r="N36" s="32"/>
      <c r="O36" s="32"/>
    </row>
    <row r="37" spans="1:15" x14ac:dyDescent="0.3">
      <c r="A37" s="32">
        <v>28</v>
      </c>
      <c r="B37" s="32" t="s">
        <v>122</v>
      </c>
      <c r="C37" s="32"/>
      <c r="D37" s="32"/>
      <c r="E37" s="32"/>
      <c r="F37" s="30"/>
      <c r="G37" s="33"/>
      <c r="H37" s="32" t="str">
        <f t="shared" si="8"/>
        <v/>
      </c>
      <c r="I37" s="34"/>
      <c r="J37" s="35" t="str">
        <f t="shared" si="9"/>
        <v/>
      </c>
      <c r="K37" s="35" t="str">
        <f>IFERROR(J37*Продукт!B7,"")</f>
        <v/>
      </c>
      <c r="L37" s="32"/>
      <c r="M37" s="32"/>
      <c r="N37" s="32"/>
      <c r="O37" s="32"/>
    </row>
    <row r="38" spans="1:15" x14ac:dyDescent="0.3">
      <c r="A38" s="32">
        <v>29</v>
      </c>
      <c r="B38" s="32" t="s">
        <v>122</v>
      </c>
      <c r="C38" s="32"/>
      <c r="D38" s="32"/>
      <c r="E38" s="32"/>
      <c r="F38" s="30"/>
      <c r="G38" s="33"/>
      <c r="H38" s="32" t="str">
        <f t="shared" si="8"/>
        <v/>
      </c>
      <c r="I38" s="34"/>
      <c r="J38" s="35" t="str">
        <f t="shared" si="9"/>
        <v/>
      </c>
      <c r="K38" s="35" t="str">
        <f>IFERROR(J38*Продукт!B7,"")</f>
        <v/>
      </c>
      <c r="L38" s="32"/>
      <c r="M38" s="32"/>
      <c r="N38" s="32"/>
      <c r="O38" s="32"/>
    </row>
    <row r="39" spans="1:15" x14ac:dyDescent="0.3">
      <c r="A39" s="32">
        <v>30</v>
      </c>
      <c r="B39" s="32" t="s">
        <v>122</v>
      </c>
      <c r="C39" s="32"/>
      <c r="D39" s="32"/>
      <c r="E39" s="32"/>
      <c r="F39" s="30"/>
      <c r="G39" s="33"/>
      <c r="H39" s="32" t="str">
        <f t="shared" si="8"/>
        <v/>
      </c>
      <c r="I39" s="34"/>
      <c r="J39" s="35" t="str">
        <f t="shared" si="9"/>
        <v/>
      </c>
      <c r="K39" s="35" t="str">
        <f>IFERROR(J39*Продукт!B7,"")</f>
        <v/>
      </c>
      <c r="L39" s="32"/>
      <c r="M39" s="32"/>
      <c r="N39" s="32"/>
      <c r="O39" s="32"/>
    </row>
    <row r="40" spans="1:15" x14ac:dyDescent="0.3">
      <c r="A40" s="32">
        <v>31</v>
      </c>
      <c r="B40" s="32" t="s">
        <v>122</v>
      </c>
      <c r="C40" s="32"/>
      <c r="D40" s="32"/>
      <c r="E40" s="32"/>
      <c r="F40" s="30"/>
      <c r="G40" s="33"/>
      <c r="H40" s="32" t="str">
        <f t="shared" si="8"/>
        <v/>
      </c>
      <c r="I40" s="34"/>
      <c r="J40" s="35" t="str">
        <f t="shared" si="9"/>
        <v/>
      </c>
      <c r="K40" s="35" t="str">
        <f>IFERROR(J40*Продукт!B7,"")</f>
        <v/>
      </c>
      <c r="L40" s="32"/>
      <c r="M40" s="32"/>
      <c r="N40" s="32"/>
      <c r="O40" s="32"/>
    </row>
    <row r="41" spans="1:15" x14ac:dyDescent="0.3">
      <c r="A41" s="8" t="s">
        <v>124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x14ac:dyDescent="0.3">
      <c r="A42" s="32">
        <v>32</v>
      </c>
      <c r="B42" s="32" t="s">
        <v>124</v>
      </c>
      <c r="C42" s="32" t="s">
        <v>125</v>
      </c>
      <c r="D42" s="32"/>
      <c r="E42" s="32" t="s">
        <v>112</v>
      </c>
      <c r="F42" s="30"/>
      <c r="G42" s="33"/>
      <c r="H42" s="32" t="str">
        <f t="shared" ref="H42:H47" si="10">IF(F42="","",F42*(1+IFERROR(G42,0)))</f>
        <v/>
      </c>
      <c r="I42" s="34"/>
      <c r="J42" s="35" t="str">
        <f t="shared" ref="J42:J47" si="11">IFERROR(H42*I42,"")</f>
        <v/>
      </c>
      <c r="K42" s="35" t="str">
        <f>IFERROR(J42*Продукт!B7,"")</f>
        <v/>
      </c>
      <c r="L42" s="32"/>
      <c r="M42" s="32"/>
      <c r="N42" s="32"/>
      <c r="O42" s="32"/>
    </row>
    <row r="43" spans="1:15" x14ac:dyDescent="0.3">
      <c r="A43" s="32">
        <v>33</v>
      </c>
      <c r="B43" s="32" t="s">
        <v>124</v>
      </c>
      <c r="C43" s="32"/>
      <c r="D43" s="32"/>
      <c r="E43" s="32"/>
      <c r="F43" s="30"/>
      <c r="G43" s="33"/>
      <c r="H43" s="32" t="str">
        <f t="shared" si="10"/>
        <v/>
      </c>
      <c r="I43" s="34"/>
      <c r="J43" s="35" t="str">
        <f t="shared" si="11"/>
        <v/>
      </c>
      <c r="K43" s="35" t="str">
        <f>IFERROR(J43*Продукт!B7,"")</f>
        <v/>
      </c>
      <c r="L43" s="32"/>
      <c r="M43" s="32"/>
      <c r="N43" s="32"/>
      <c r="O43" s="32"/>
    </row>
    <row r="44" spans="1:15" x14ac:dyDescent="0.3">
      <c r="A44" s="32">
        <v>34</v>
      </c>
      <c r="B44" s="32" t="s">
        <v>124</v>
      </c>
      <c r="C44" s="32"/>
      <c r="D44" s="32"/>
      <c r="E44" s="32"/>
      <c r="F44" s="30"/>
      <c r="G44" s="33"/>
      <c r="H44" s="32" t="str">
        <f t="shared" si="10"/>
        <v/>
      </c>
      <c r="I44" s="34"/>
      <c r="J44" s="35" t="str">
        <f t="shared" si="11"/>
        <v/>
      </c>
      <c r="K44" s="35" t="str">
        <f>IFERROR(J44*Продукт!B7,"")</f>
        <v/>
      </c>
      <c r="L44" s="32"/>
      <c r="M44" s="32"/>
      <c r="N44" s="32"/>
      <c r="O44" s="32"/>
    </row>
    <row r="45" spans="1:15" x14ac:dyDescent="0.3">
      <c r="A45" s="32">
        <v>35</v>
      </c>
      <c r="B45" s="32" t="s">
        <v>124</v>
      </c>
      <c r="C45" s="32"/>
      <c r="D45" s="32"/>
      <c r="E45" s="32"/>
      <c r="F45" s="30"/>
      <c r="G45" s="33"/>
      <c r="H45" s="32" t="str">
        <f t="shared" si="10"/>
        <v/>
      </c>
      <c r="I45" s="34"/>
      <c r="J45" s="35" t="str">
        <f t="shared" si="11"/>
        <v/>
      </c>
      <c r="K45" s="35" t="str">
        <f>IFERROR(J45*Продукт!B7,"")</f>
        <v/>
      </c>
      <c r="L45" s="32"/>
      <c r="M45" s="32"/>
      <c r="N45" s="32"/>
      <c r="O45" s="32"/>
    </row>
    <row r="46" spans="1:15" x14ac:dyDescent="0.3">
      <c r="A46" s="32">
        <v>36</v>
      </c>
      <c r="B46" s="32" t="s">
        <v>124</v>
      </c>
      <c r="C46" s="32"/>
      <c r="D46" s="32"/>
      <c r="E46" s="32"/>
      <c r="F46" s="30"/>
      <c r="G46" s="33"/>
      <c r="H46" s="32" t="str">
        <f t="shared" si="10"/>
        <v/>
      </c>
      <c r="I46" s="34"/>
      <c r="J46" s="35" t="str">
        <f t="shared" si="11"/>
        <v/>
      </c>
      <c r="K46" s="35" t="str">
        <f>IFERROR(J46*Продукт!B7,"")</f>
        <v/>
      </c>
      <c r="L46" s="32"/>
      <c r="M46" s="32"/>
      <c r="N46" s="32"/>
      <c r="O46" s="32"/>
    </row>
    <row r="47" spans="1:15" x14ac:dyDescent="0.3">
      <c r="A47" s="32">
        <v>37</v>
      </c>
      <c r="B47" s="32" t="s">
        <v>124</v>
      </c>
      <c r="C47" s="32"/>
      <c r="D47" s="32"/>
      <c r="E47" s="32"/>
      <c r="F47" s="30"/>
      <c r="G47" s="33"/>
      <c r="H47" s="32" t="str">
        <f t="shared" si="10"/>
        <v/>
      </c>
      <c r="I47" s="34"/>
      <c r="J47" s="35" t="str">
        <f t="shared" si="11"/>
        <v/>
      </c>
      <c r="K47" s="35" t="str">
        <f>IFERROR(J47*Продукт!B7,"")</f>
        <v/>
      </c>
      <c r="L47" s="32"/>
      <c r="M47" s="32"/>
      <c r="N47" s="32"/>
      <c r="O47" s="32"/>
    </row>
    <row r="48" spans="1:15" x14ac:dyDescent="0.3">
      <c r="A48" s="7" t="s">
        <v>126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x14ac:dyDescent="0.3">
      <c r="A49" s="32">
        <v>38</v>
      </c>
      <c r="B49" s="32"/>
      <c r="C49" s="32"/>
      <c r="D49" s="32"/>
      <c r="E49" s="32"/>
      <c r="F49" s="30"/>
      <c r="G49" s="33"/>
      <c r="H49" s="32" t="str">
        <f>IF(F49="","",F49*(1+IFERROR(G49,0)))</f>
        <v/>
      </c>
      <c r="I49" s="34"/>
      <c r="J49" s="35" t="str">
        <f>IFERROR(H49*I49,"")</f>
        <v/>
      </c>
      <c r="K49" s="35" t="str">
        <f>IFERROR(J49*Продукт!B7,"")</f>
        <v/>
      </c>
      <c r="L49" s="32"/>
      <c r="M49" s="32"/>
      <c r="N49" s="32"/>
      <c r="O49" s="32"/>
    </row>
    <row r="50" spans="1:15" x14ac:dyDescent="0.3">
      <c r="A50" s="32">
        <v>39</v>
      </c>
      <c r="B50" s="32"/>
      <c r="C50" s="32"/>
      <c r="D50" s="32"/>
      <c r="E50" s="32"/>
      <c r="F50" s="30"/>
      <c r="G50" s="33"/>
      <c r="H50" s="32" t="str">
        <f>IF(F50="","",F50*(1+IFERROR(G50,0)))</f>
        <v/>
      </c>
      <c r="I50" s="34"/>
      <c r="J50" s="35" t="str">
        <f>IFERROR(H50*I50,"")</f>
        <v/>
      </c>
      <c r="K50" s="35" t="str">
        <f>IFERROR(J50*Продукт!B7,"")</f>
        <v/>
      </c>
      <c r="L50" s="32"/>
      <c r="M50" s="32"/>
      <c r="N50" s="32"/>
      <c r="O50" s="32"/>
    </row>
    <row r="51" spans="1:15" x14ac:dyDescent="0.3">
      <c r="A51" s="32">
        <v>40</v>
      </c>
      <c r="B51" s="32"/>
      <c r="C51" s="32"/>
      <c r="D51" s="32"/>
      <c r="E51" s="32"/>
      <c r="F51" s="30"/>
      <c r="G51" s="33"/>
      <c r="H51" s="32" t="str">
        <f>IF(F51="","",F51*(1+IFERROR(G51,0)))</f>
        <v/>
      </c>
      <c r="I51" s="34"/>
      <c r="J51" s="35" t="str">
        <f>IFERROR(H51*I51,"")</f>
        <v/>
      </c>
      <c r="K51" s="35" t="str">
        <f>IFERROR(J51*Продукт!B7,"")</f>
        <v/>
      </c>
      <c r="L51" s="32"/>
      <c r="M51" s="32"/>
      <c r="N51" s="32"/>
      <c r="O51" s="32"/>
    </row>
    <row r="52" spans="1:15" x14ac:dyDescent="0.3">
      <c r="A52" s="32">
        <v>41</v>
      </c>
      <c r="B52" s="32"/>
      <c r="C52" s="32"/>
      <c r="D52" s="32"/>
      <c r="E52" s="32"/>
      <c r="F52" s="30"/>
      <c r="G52" s="33"/>
      <c r="H52" s="32" t="str">
        <f>IF(F52="","",F52*(1+IFERROR(G52,0)))</f>
        <v/>
      </c>
      <c r="I52" s="34"/>
      <c r="J52" s="35" t="str">
        <f>IFERROR(H52*I52,"")</f>
        <v/>
      </c>
      <c r="K52" s="35" t="str">
        <f>IFERROR(J52*Продукт!B7,"")</f>
        <v/>
      </c>
      <c r="L52" s="32"/>
      <c r="M52" s="32"/>
      <c r="N52" s="32"/>
      <c r="O52" s="32"/>
    </row>
    <row r="53" spans="1:15" x14ac:dyDescent="0.3">
      <c r="A53" s="32">
        <v>42</v>
      </c>
      <c r="B53" s="32"/>
      <c r="C53" s="32"/>
      <c r="D53" s="32"/>
      <c r="E53" s="32"/>
      <c r="F53" s="30"/>
      <c r="G53" s="33"/>
      <c r="H53" s="32" t="str">
        <f>IF(F53="","",F53*(1+IFERROR(G53,0)))</f>
        <v/>
      </c>
      <c r="I53" s="34"/>
      <c r="J53" s="35" t="str">
        <f>IFERROR(H53*I53,"")</f>
        <v/>
      </c>
      <c r="K53" s="35" t="str">
        <f>IFERROR(J53*Продукт!B7,"")</f>
        <v/>
      </c>
      <c r="L53" s="32"/>
      <c r="M53" s="32"/>
      <c r="N53" s="32"/>
      <c r="O53" s="32"/>
    </row>
    <row r="55" spans="1:15" x14ac:dyDescent="0.3">
      <c r="A55" s="6" t="s">
        <v>127</v>
      </c>
      <c r="B55" s="6"/>
      <c r="C55" s="6"/>
      <c r="D55" s="6"/>
      <c r="E55" s="6"/>
      <c r="F55" s="6"/>
      <c r="G55" s="6"/>
      <c r="H55" s="6"/>
      <c r="I55" s="6"/>
      <c r="J55" s="36">
        <f>SUMIF(J5:J53,"&gt;0")</f>
        <v>0</v>
      </c>
      <c r="K55" s="36">
        <f>SUMIF(K5:K53,"&gt;0")</f>
        <v>0</v>
      </c>
      <c r="L55" s="18"/>
      <c r="M55" s="18"/>
      <c r="N55" s="18"/>
      <c r="O55" s="18"/>
    </row>
  </sheetData>
  <mergeCells count="10">
    <mergeCell ref="A27:O27"/>
    <mergeCell ref="A34:O34"/>
    <mergeCell ref="A41:O41"/>
    <mergeCell ref="A48:O48"/>
    <mergeCell ref="A55:I55"/>
    <mergeCell ref="A1:O1"/>
    <mergeCell ref="A2:O2"/>
    <mergeCell ref="A5:O5"/>
    <mergeCell ref="A13:O13"/>
    <mergeCell ref="A20:O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O1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6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4" t="s">
        <v>128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3">
      <c r="A2" s="9" t="s">
        <v>94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4" spans="1:15" ht="45" customHeight="1" x14ac:dyDescent="0.3">
      <c r="A4" s="28" t="s">
        <v>95</v>
      </c>
      <c r="B4" s="28" t="s">
        <v>96</v>
      </c>
      <c r="C4" s="28" t="s">
        <v>97</v>
      </c>
      <c r="D4" s="28" t="s">
        <v>98</v>
      </c>
      <c r="E4" s="28" t="s">
        <v>99</v>
      </c>
      <c r="F4" s="28" t="s">
        <v>100</v>
      </c>
      <c r="G4" s="28" t="s">
        <v>101</v>
      </c>
      <c r="H4" s="28" t="s">
        <v>102</v>
      </c>
      <c r="I4" s="28" t="s">
        <v>103</v>
      </c>
      <c r="J4" s="28" t="s">
        <v>104</v>
      </c>
      <c r="K4" s="28" t="s">
        <v>105</v>
      </c>
      <c r="L4" s="28" t="s">
        <v>106</v>
      </c>
      <c r="M4" s="28" t="s">
        <v>107</v>
      </c>
      <c r="N4" s="28" t="s">
        <v>108</v>
      </c>
      <c r="O4" s="28" t="s">
        <v>109</v>
      </c>
    </row>
    <row r="5" spans="1:15" x14ac:dyDescent="0.3">
      <c r="A5" s="8" t="s">
        <v>129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26.4" x14ac:dyDescent="0.3">
      <c r="A6" s="32">
        <v>1</v>
      </c>
      <c r="B6" s="32" t="s">
        <v>129</v>
      </c>
      <c r="C6" s="32" t="s">
        <v>130</v>
      </c>
      <c r="D6" s="32"/>
      <c r="E6" s="32" t="s">
        <v>112</v>
      </c>
      <c r="F6" s="30"/>
      <c r="G6" s="33"/>
      <c r="H6" s="32" t="str">
        <f t="shared" ref="H6:H13" si="0">IF(F6="","",F6*(1+IFERROR(G6,0)))</f>
        <v/>
      </c>
      <c r="I6" s="34"/>
      <c r="J6" s="35" t="str">
        <f t="shared" ref="J6:J13" si="1">IFERROR(H6*I6,"")</f>
        <v/>
      </c>
      <c r="K6" s="35" t="str">
        <f>IFERROR(J6*Продукт!B7,"")</f>
        <v/>
      </c>
      <c r="L6" s="32"/>
      <c r="M6" s="32"/>
      <c r="N6" s="32"/>
      <c r="O6" s="32"/>
    </row>
    <row r="7" spans="1:15" ht="26.4" x14ac:dyDescent="0.3">
      <c r="A7" s="32">
        <v>2</v>
      </c>
      <c r="B7" s="32" t="s">
        <v>129</v>
      </c>
      <c r="C7" s="32" t="s">
        <v>131</v>
      </c>
      <c r="D7" s="32"/>
      <c r="E7" s="32" t="s">
        <v>112</v>
      </c>
      <c r="F7" s="30"/>
      <c r="G7" s="33"/>
      <c r="H7" s="32" t="str">
        <f t="shared" si="0"/>
        <v/>
      </c>
      <c r="I7" s="34"/>
      <c r="J7" s="35" t="str">
        <f t="shared" si="1"/>
        <v/>
      </c>
      <c r="K7" s="35" t="str">
        <f>IFERROR(J7*Продукт!B7,"")</f>
        <v/>
      </c>
      <c r="L7" s="32"/>
      <c r="M7" s="32"/>
      <c r="N7" s="32"/>
      <c r="O7" s="32"/>
    </row>
    <row r="8" spans="1:15" ht="26.4" x14ac:dyDescent="0.3">
      <c r="A8" s="32">
        <v>3</v>
      </c>
      <c r="B8" s="32" t="s">
        <v>129</v>
      </c>
      <c r="C8" s="32" t="s">
        <v>132</v>
      </c>
      <c r="D8" s="32"/>
      <c r="E8" s="32" t="s">
        <v>112</v>
      </c>
      <c r="F8" s="30"/>
      <c r="G8" s="33"/>
      <c r="H8" s="32" t="str">
        <f t="shared" si="0"/>
        <v/>
      </c>
      <c r="I8" s="34"/>
      <c r="J8" s="35" t="str">
        <f t="shared" si="1"/>
        <v/>
      </c>
      <c r="K8" s="35" t="str">
        <f>IFERROR(J8*Продукт!B7,"")</f>
        <v/>
      </c>
      <c r="L8" s="32"/>
      <c r="M8" s="32"/>
      <c r="N8" s="32"/>
      <c r="O8" s="32"/>
    </row>
    <row r="9" spans="1:15" ht="26.4" x14ac:dyDescent="0.3">
      <c r="A9" s="32">
        <v>4</v>
      </c>
      <c r="B9" s="32" t="s">
        <v>129</v>
      </c>
      <c r="C9" s="32"/>
      <c r="D9" s="32"/>
      <c r="E9" s="32"/>
      <c r="F9" s="30"/>
      <c r="G9" s="33"/>
      <c r="H9" s="32" t="str">
        <f t="shared" si="0"/>
        <v/>
      </c>
      <c r="I9" s="34"/>
      <c r="J9" s="35" t="str">
        <f t="shared" si="1"/>
        <v/>
      </c>
      <c r="K9" s="35" t="str">
        <f>IFERROR(J9*Продукт!B7,"")</f>
        <v/>
      </c>
      <c r="L9" s="32"/>
      <c r="M9" s="32"/>
      <c r="N9" s="32"/>
      <c r="O9" s="32"/>
    </row>
    <row r="10" spans="1:15" ht="26.4" x14ac:dyDescent="0.3">
      <c r="A10" s="32">
        <v>5</v>
      </c>
      <c r="B10" s="32" t="s">
        <v>129</v>
      </c>
      <c r="C10" s="32"/>
      <c r="D10" s="32"/>
      <c r="E10" s="32"/>
      <c r="F10" s="30"/>
      <c r="G10" s="33"/>
      <c r="H10" s="32" t="str">
        <f t="shared" si="0"/>
        <v/>
      </c>
      <c r="I10" s="34"/>
      <c r="J10" s="35" t="str">
        <f t="shared" si="1"/>
        <v/>
      </c>
      <c r="K10" s="35" t="str">
        <f>IFERROR(J10*Продукт!B7,"")</f>
        <v/>
      </c>
      <c r="L10" s="32"/>
      <c r="M10" s="32"/>
      <c r="N10" s="32"/>
      <c r="O10" s="32"/>
    </row>
    <row r="11" spans="1:15" ht="26.4" x14ac:dyDescent="0.3">
      <c r="A11" s="32">
        <v>6</v>
      </c>
      <c r="B11" s="32" t="s">
        <v>129</v>
      </c>
      <c r="C11" s="32"/>
      <c r="D11" s="32"/>
      <c r="E11" s="32"/>
      <c r="F11" s="30"/>
      <c r="G11" s="33"/>
      <c r="H11" s="32" t="str">
        <f t="shared" si="0"/>
        <v/>
      </c>
      <c r="I11" s="34"/>
      <c r="J11" s="35" t="str">
        <f t="shared" si="1"/>
        <v/>
      </c>
      <c r="K11" s="35" t="str">
        <f>IFERROR(J11*Продукт!B7,"")</f>
        <v/>
      </c>
      <c r="L11" s="32"/>
      <c r="M11" s="32"/>
      <c r="N11" s="32"/>
      <c r="O11" s="32"/>
    </row>
    <row r="12" spans="1:15" ht="26.4" x14ac:dyDescent="0.3">
      <c r="A12" s="32">
        <v>7</v>
      </c>
      <c r="B12" s="32" t="s">
        <v>129</v>
      </c>
      <c r="C12" s="32"/>
      <c r="D12" s="32"/>
      <c r="E12" s="32"/>
      <c r="F12" s="30"/>
      <c r="G12" s="33"/>
      <c r="H12" s="32" t="str">
        <f t="shared" si="0"/>
        <v/>
      </c>
      <c r="I12" s="34"/>
      <c r="J12" s="35" t="str">
        <f t="shared" si="1"/>
        <v/>
      </c>
      <c r="K12" s="35" t="str">
        <f>IFERROR(J12*Продукт!B7,"")</f>
        <v/>
      </c>
      <c r="L12" s="32"/>
      <c r="M12" s="32"/>
      <c r="N12" s="32"/>
      <c r="O12" s="32"/>
    </row>
    <row r="13" spans="1:15" ht="26.4" x14ac:dyDescent="0.3">
      <c r="A13" s="32">
        <v>8</v>
      </c>
      <c r="B13" s="32" t="s">
        <v>129</v>
      </c>
      <c r="C13" s="32"/>
      <c r="D13" s="32"/>
      <c r="E13" s="32"/>
      <c r="F13" s="30"/>
      <c r="G13" s="33"/>
      <c r="H13" s="32" t="str">
        <f t="shared" si="0"/>
        <v/>
      </c>
      <c r="I13" s="34"/>
      <c r="J13" s="35" t="str">
        <f t="shared" si="1"/>
        <v/>
      </c>
      <c r="K13" s="35" t="str">
        <f>IFERROR(J13*Продукт!B7,"")</f>
        <v/>
      </c>
      <c r="L13" s="32"/>
      <c r="M13" s="32"/>
      <c r="N13" s="32"/>
      <c r="O13" s="32"/>
    </row>
    <row r="14" spans="1:15" x14ac:dyDescent="0.3">
      <c r="A14" s="8" t="s">
        <v>133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26.4" x14ac:dyDescent="0.3">
      <c r="A15" s="32">
        <v>9</v>
      </c>
      <c r="B15" s="32" t="s">
        <v>133</v>
      </c>
      <c r="C15" s="32" t="s">
        <v>134</v>
      </c>
      <c r="D15" s="32"/>
      <c r="E15" s="32" t="s">
        <v>112</v>
      </c>
      <c r="F15" s="30"/>
      <c r="G15" s="33"/>
      <c r="H15" s="32" t="str">
        <f t="shared" ref="H15:H20" si="2">IF(F15="","",F15*(1+IFERROR(G15,0)))</f>
        <v/>
      </c>
      <c r="I15" s="34"/>
      <c r="J15" s="35" t="str">
        <f t="shared" ref="J15:J20" si="3">IFERROR(H15*I15,"")</f>
        <v/>
      </c>
      <c r="K15" s="35" t="str">
        <f>IFERROR(J15*Продукт!B7,"")</f>
        <v/>
      </c>
      <c r="L15" s="32"/>
      <c r="M15" s="32"/>
      <c r="N15" s="32"/>
      <c r="O15" s="32"/>
    </row>
    <row r="16" spans="1:15" ht="26.4" x14ac:dyDescent="0.3">
      <c r="A16" s="32">
        <v>10</v>
      </c>
      <c r="B16" s="32" t="s">
        <v>133</v>
      </c>
      <c r="C16" s="32"/>
      <c r="D16" s="32"/>
      <c r="E16" s="32"/>
      <c r="F16" s="30"/>
      <c r="G16" s="33"/>
      <c r="H16" s="32" t="str">
        <f t="shared" si="2"/>
        <v/>
      </c>
      <c r="I16" s="34"/>
      <c r="J16" s="35" t="str">
        <f t="shared" si="3"/>
        <v/>
      </c>
      <c r="K16" s="35" t="str">
        <f>IFERROR(J16*Продукт!B7,"")</f>
        <v/>
      </c>
      <c r="L16" s="32"/>
      <c r="M16" s="32"/>
      <c r="N16" s="32"/>
      <c r="O16" s="32"/>
    </row>
    <row r="17" spans="1:15" ht="26.4" x14ac:dyDescent="0.3">
      <c r="A17" s="32">
        <v>11</v>
      </c>
      <c r="B17" s="32" t="s">
        <v>133</v>
      </c>
      <c r="C17" s="32"/>
      <c r="D17" s="32"/>
      <c r="E17" s="32"/>
      <c r="F17" s="30"/>
      <c r="G17" s="33"/>
      <c r="H17" s="32" t="str">
        <f t="shared" si="2"/>
        <v/>
      </c>
      <c r="I17" s="34"/>
      <c r="J17" s="35" t="str">
        <f t="shared" si="3"/>
        <v/>
      </c>
      <c r="K17" s="35" t="str">
        <f>IFERROR(J17*Продукт!B7,"")</f>
        <v/>
      </c>
      <c r="L17" s="32"/>
      <c r="M17" s="32"/>
      <c r="N17" s="32"/>
      <c r="O17" s="32"/>
    </row>
    <row r="18" spans="1:15" ht="26.4" x14ac:dyDescent="0.3">
      <c r="A18" s="32">
        <v>12</v>
      </c>
      <c r="B18" s="32" t="s">
        <v>133</v>
      </c>
      <c r="C18" s="32"/>
      <c r="D18" s="32"/>
      <c r="E18" s="32"/>
      <c r="F18" s="30"/>
      <c r="G18" s="33"/>
      <c r="H18" s="32" t="str">
        <f t="shared" si="2"/>
        <v/>
      </c>
      <c r="I18" s="34"/>
      <c r="J18" s="35" t="str">
        <f t="shared" si="3"/>
        <v/>
      </c>
      <c r="K18" s="35" t="str">
        <f>IFERROR(J18*Продукт!B7,"")</f>
        <v/>
      </c>
      <c r="L18" s="32"/>
      <c r="M18" s="32"/>
      <c r="N18" s="32"/>
      <c r="O18" s="32"/>
    </row>
    <row r="19" spans="1:15" ht="26.4" x14ac:dyDescent="0.3">
      <c r="A19" s="32">
        <v>13</v>
      </c>
      <c r="B19" s="32" t="s">
        <v>133</v>
      </c>
      <c r="C19" s="32"/>
      <c r="D19" s="32"/>
      <c r="E19" s="32"/>
      <c r="F19" s="30"/>
      <c r="G19" s="33"/>
      <c r="H19" s="32" t="str">
        <f t="shared" si="2"/>
        <v/>
      </c>
      <c r="I19" s="34"/>
      <c r="J19" s="35" t="str">
        <f t="shared" si="3"/>
        <v/>
      </c>
      <c r="K19" s="35" t="str">
        <f>IFERROR(J19*Продукт!B7,"")</f>
        <v/>
      </c>
      <c r="L19" s="32"/>
      <c r="M19" s="32"/>
      <c r="N19" s="32"/>
      <c r="O19" s="32"/>
    </row>
    <row r="20" spans="1:15" ht="26.4" x14ac:dyDescent="0.3">
      <c r="A20" s="32">
        <v>14</v>
      </c>
      <c r="B20" s="32" t="s">
        <v>133</v>
      </c>
      <c r="C20" s="32"/>
      <c r="D20" s="32"/>
      <c r="E20" s="32"/>
      <c r="F20" s="30"/>
      <c r="G20" s="33"/>
      <c r="H20" s="32" t="str">
        <f t="shared" si="2"/>
        <v/>
      </c>
      <c r="I20" s="34"/>
      <c r="J20" s="35" t="str">
        <f t="shared" si="3"/>
        <v/>
      </c>
      <c r="K20" s="35" t="str">
        <f>IFERROR(J20*Продукт!B7,"")</f>
        <v/>
      </c>
      <c r="L20" s="32"/>
      <c r="M20" s="32"/>
      <c r="N20" s="32"/>
      <c r="O20" s="32"/>
    </row>
    <row r="21" spans="1:15" x14ac:dyDescent="0.3">
      <c r="A21" s="8" t="s">
        <v>135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3">
      <c r="A22" s="32">
        <v>15</v>
      </c>
      <c r="B22" s="32" t="s">
        <v>135</v>
      </c>
      <c r="C22" s="32" t="s">
        <v>136</v>
      </c>
      <c r="D22" s="32"/>
      <c r="E22" s="32" t="s">
        <v>112</v>
      </c>
      <c r="F22" s="30"/>
      <c r="G22" s="33"/>
      <c r="H22" s="32" t="str">
        <f t="shared" ref="H22:H27" si="4">IF(F22="","",F22*(1+IFERROR(G22,0)))</f>
        <v/>
      </c>
      <c r="I22" s="34"/>
      <c r="J22" s="35" t="str">
        <f t="shared" ref="J22:J27" si="5">IFERROR(H22*I22,"")</f>
        <v/>
      </c>
      <c r="K22" s="35" t="str">
        <f>IFERROR(J22*Продукт!B7,"")</f>
        <v/>
      </c>
      <c r="L22" s="32"/>
      <c r="M22" s="32"/>
      <c r="N22" s="32"/>
      <c r="O22" s="32"/>
    </row>
    <row r="23" spans="1:15" x14ac:dyDescent="0.3">
      <c r="A23" s="32">
        <v>16</v>
      </c>
      <c r="B23" s="32" t="s">
        <v>135</v>
      </c>
      <c r="C23" s="32"/>
      <c r="D23" s="32"/>
      <c r="E23" s="32"/>
      <c r="F23" s="30"/>
      <c r="G23" s="33"/>
      <c r="H23" s="32" t="str">
        <f t="shared" si="4"/>
        <v/>
      </c>
      <c r="I23" s="34"/>
      <c r="J23" s="35" t="str">
        <f t="shared" si="5"/>
        <v/>
      </c>
      <c r="K23" s="35" t="str">
        <f>IFERROR(J23*Продукт!B7,"")</f>
        <v/>
      </c>
      <c r="L23" s="32"/>
      <c r="M23" s="32"/>
      <c r="N23" s="32"/>
      <c r="O23" s="32"/>
    </row>
    <row r="24" spans="1:15" x14ac:dyDescent="0.3">
      <c r="A24" s="32">
        <v>17</v>
      </c>
      <c r="B24" s="32" t="s">
        <v>135</v>
      </c>
      <c r="C24" s="32"/>
      <c r="D24" s="32"/>
      <c r="E24" s="32"/>
      <c r="F24" s="30"/>
      <c r="G24" s="33"/>
      <c r="H24" s="32" t="str">
        <f t="shared" si="4"/>
        <v/>
      </c>
      <c r="I24" s="34"/>
      <c r="J24" s="35" t="str">
        <f t="shared" si="5"/>
        <v/>
      </c>
      <c r="K24" s="35" t="str">
        <f>IFERROR(J24*Продукт!B7,"")</f>
        <v/>
      </c>
      <c r="L24" s="32"/>
      <c r="M24" s="32"/>
      <c r="N24" s="32"/>
      <c r="O24" s="32"/>
    </row>
    <row r="25" spans="1:15" x14ac:dyDescent="0.3">
      <c r="A25" s="32">
        <v>18</v>
      </c>
      <c r="B25" s="32" t="s">
        <v>135</v>
      </c>
      <c r="C25" s="32"/>
      <c r="D25" s="32"/>
      <c r="E25" s="32"/>
      <c r="F25" s="30"/>
      <c r="G25" s="33"/>
      <c r="H25" s="32" t="str">
        <f t="shared" si="4"/>
        <v/>
      </c>
      <c r="I25" s="34"/>
      <c r="J25" s="35" t="str">
        <f t="shared" si="5"/>
        <v/>
      </c>
      <c r="K25" s="35" t="str">
        <f>IFERROR(J25*Продукт!B7,"")</f>
        <v/>
      </c>
      <c r="L25" s="32"/>
      <c r="M25" s="32"/>
      <c r="N25" s="32"/>
      <c r="O25" s="32"/>
    </row>
    <row r="26" spans="1:15" x14ac:dyDescent="0.3">
      <c r="A26" s="32">
        <v>19</v>
      </c>
      <c r="B26" s="32" t="s">
        <v>135</v>
      </c>
      <c r="C26" s="32"/>
      <c r="D26" s="32"/>
      <c r="E26" s="32"/>
      <c r="F26" s="30"/>
      <c r="G26" s="33"/>
      <c r="H26" s="32" t="str">
        <f t="shared" si="4"/>
        <v/>
      </c>
      <c r="I26" s="34"/>
      <c r="J26" s="35" t="str">
        <f t="shared" si="5"/>
        <v/>
      </c>
      <c r="K26" s="35" t="str">
        <f>IFERROR(J26*Продукт!B7,"")</f>
        <v/>
      </c>
      <c r="L26" s="32"/>
      <c r="M26" s="32"/>
      <c r="N26" s="32"/>
      <c r="O26" s="32"/>
    </row>
    <row r="27" spans="1:15" x14ac:dyDescent="0.3">
      <c r="A27" s="32">
        <v>20</v>
      </c>
      <c r="B27" s="32" t="s">
        <v>135</v>
      </c>
      <c r="C27" s="32"/>
      <c r="D27" s="32"/>
      <c r="E27" s="32"/>
      <c r="F27" s="30"/>
      <c r="G27" s="33"/>
      <c r="H27" s="32" t="str">
        <f t="shared" si="4"/>
        <v/>
      </c>
      <c r="I27" s="34"/>
      <c r="J27" s="35" t="str">
        <f t="shared" si="5"/>
        <v/>
      </c>
      <c r="K27" s="35" t="str">
        <f>IFERROR(J27*Продукт!B7,"")</f>
        <v/>
      </c>
      <c r="L27" s="32"/>
      <c r="M27" s="32"/>
      <c r="N27" s="32"/>
      <c r="O27" s="32"/>
    </row>
    <row r="28" spans="1:15" x14ac:dyDescent="0.3">
      <c r="A28" s="7" t="s">
        <v>126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3">
      <c r="A29" s="32">
        <v>21</v>
      </c>
      <c r="B29" s="32"/>
      <c r="C29" s="32"/>
      <c r="D29" s="32"/>
      <c r="E29" s="32"/>
      <c r="F29" s="30"/>
      <c r="G29" s="33"/>
      <c r="H29" s="32" t="str">
        <f>IF(F29="","",F29*(1+IFERROR(G29,0)))</f>
        <v/>
      </c>
      <c r="I29" s="34"/>
      <c r="J29" s="35" t="str">
        <f>IFERROR(H29*I29,"")</f>
        <v/>
      </c>
      <c r="K29" s="35" t="str">
        <f>IFERROR(J29*Продукт!B7,"")</f>
        <v/>
      </c>
      <c r="L29" s="32"/>
      <c r="M29" s="32"/>
      <c r="N29" s="32"/>
      <c r="O29" s="32"/>
    </row>
    <row r="30" spans="1:15" x14ac:dyDescent="0.3">
      <c r="A30" s="32">
        <v>22</v>
      </c>
      <c r="B30" s="32"/>
      <c r="C30" s="32"/>
      <c r="D30" s="32"/>
      <c r="E30" s="32"/>
      <c r="F30" s="30"/>
      <c r="G30" s="33"/>
      <c r="H30" s="32" t="str">
        <f>IF(F30="","",F30*(1+IFERROR(G30,0)))</f>
        <v/>
      </c>
      <c r="I30" s="34"/>
      <c r="J30" s="35" t="str">
        <f>IFERROR(H30*I30,"")</f>
        <v/>
      </c>
      <c r="K30" s="35" t="str">
        <f>IFERROR(J30*Продукт!B7,"")</f>
        <v/>
      </c>
      <c r="L30" s="32"/>
      <c r="M30" s="32"/>
      <c r="N30" s="32"/>
      <c r="O30" s="32"/>
    </row>
    <row r="31" spans="1:15" x14ac:dyDescent="0.3">
      <c r="A31" s="32">
        <v>23</v>
      </c>
      <c r="B31" s="32"/>
      <c r="C31" s="32"/>
      <c r="D31" s="32"/>
      <c r="E31" s="32"/>
      <c r="F31" s="30"/>
      <c r="G31" s="33"/>
      <c r="H31" s="32" t="str">
        <f>IF(F31="","",F31*(1+IFERROR(G31,0)))</f>
        <v/>
      </c>
      <c r="I31" s="34"/>
      <c r="J31" s="35" t="str">
        <f>IFERROR(H31*I31,"")</f>
        <v/>
      </c>
      <c r="K31" s="35" t="str">
        <f>IFERROR(J31*Продукт!B7,"")</f>
        <v/>
      </c>
      <c r="L31" s="32"/>
      <c r="M31" s="32"/>
      <c r="N31" s="32"/>
      <c r="O31" s="32"/>
    </row>
    <row r="32" spans="1:15" x14ac:dyDescent="0.3">
      <c r="A32" s="32">
        <v>24</v>
      </c>
      <c r="B32" s="32"/>
      <c r="C32" s="32"/>
      <c r="D32" s="32"/>
      <c r="E32" s="32"/>
      <c r="F32" s="30"/>
      <c r="G32" s="33"/>
      <c r="H32" s="32" t="str">
        <f>IF(F32="","",F32*(1+IFERROR(G32,0)))</f>
        <v/>
      </c>
      <c r="I32" s="34"/>
      <c r="J32" s="35" t="str">
        <f>IFERROR(H32*I32,"")</f>
        <v/>
      </c>
      <c r="K32" s="35" t="str">
        <f>IFERROR(J32*Продукт!B7,"")</f>
        <v/>
      </c>
      <c r="L32" s="32"/>
      <c r="M32" s="32"/>
      <c r="N32" s="32"/>
      <c r="O32" s="32"/>
    </row>
    <row r="33" spans="1:15" x14ac:dyDescent="0.3">
      <c r="A33" s="32">
        <v>25</v>
      </c>
      <c r="B33" s="32"/>
      <c r="C33" s="32"/>
      <c r="D33" s="32"/>
      <c r="E33" s="32"/>
      <c r="F33" s="30"/>
      <c r="G33" s="33"/>
      <c r="H33" s="32" t="str">
        <f>IF(F33="","",F33*(1+IFERROR(G33,0)))</f>
        <v/>
      </c>
      <c r="I33" s="34"/>
      <c r="J33" s="35" t="str">
        <f>IFERROR(H33*I33,"")</f>
        <v/>
      </c>
      <c r="K33" s="35" t="str">
        <f>IFERROR(J33*Продукт!B7,"")</f>
        <v/>
      </c>
      <c r="L33" s="32"/>
      <c r="M33" s="32"/>
      <c r="N33" s="32"/>
      <c r="O33" s="32"/>
    </row>
    <row r="35" spans="1:15" x14ac:dyDescent="0.3">
      <c r="A35" s="6" t="s">
        <v>127</v>
      </c>
      <c r="B35" s="6"/>
      <c r="C35" s="6"/>
      <c r="D35" s="6"/>
      <c r="E35" s="6"/>
      <c r="F35" s="6"/>
      <c r="G35" s="6"/>
      <c r="H35" s="6"/>
      <c r="I35" s="6"/>
      <c r="J35" s="36">
        <f>SUMIF(J5:J33,"&gt;0")</f>
        <v>0</v>
      </c>
      <c r="K35" s="36">
        <f>SUMIF(K5:K33,"&gt;0")</f>
        <v>0</v>
      </c>
      <c r="L35" s="18"/>
      <c r="M35" s="18"/>
      <c r="N35" s="18"/>
      <c r="O35" s="18"/>
    </row>
  </sheetData>
  <mergeCells count="7">
    <mergeCell ref="A28:O28"/>
    <mergeCell ref="A35:I35"/>
    <mergeCell ref="A1:O1"/>
    <mergeCell ref="A2:O2"/>
    <mergeCell ref="A5:O5"/>
    <mergeCell ref="A14:O14"/>
    <mergeCell ref="A21:O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O1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6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4" t="s">
        <v>137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3">
      <c r="A2" s="9" t="s">
        <v>94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4" spans="1:15" ht="45" customHeight="1" x14ac:dyDescent="0.3">
      <c r="A4" s="28" t="s">
        <v>95</v>
      </c>
      <c r="B4" s="28" t="s">
        <v>96</v>
      </c>
      <c r="C4" s="28" t="s">
        <v>97</v>
      </c>
      <c r="D4" s="28" t="s">
        <v>98</v>
      </c>
      <c r="E4" s="28" t="s">
        <v>99</v>
      </c>
      <c r="F4" s="28" t="s">
        <v>100</v>
      </c>
      <c r="G4" s="28" t="s">
        <v>101</v>
      </c>
      <c r="H4" s="28" t="s">
        <v>102</v>
      </c>
      <c r="I4" s="28" t="s">
        <v>103</v>
      </c>
      <c r="J4" s="28" t="s">
        <v>104</v>
      </c>
      <c r="K4" s="28" t="s">
        <v>105</v>
      </c>
      <c r="L4" s="28" t="s">
        <v>106</v>
      </c>
      <c r="M4" s="28" t="s">
        <v>107</v>
      </c>
      <c r="N4" s="28" t="s">
        <v>108</v>
      </c>
      <c r="O4" s="28" t="s">
        <v>109</v>
      </c>
    </row>
    <row r="5" spans="1:15" x14ac:dyDescent="0.3">
      <c r="A5" s="8" t="s">
        <v>138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3">
      <c r="A6" s="32">
        <v>1</v>
      </c>
      <c r="B6" s="32" t="s">
        <v>138</v>
      </c>
      <c r="C6" s="32" t="s">
        <v>139</v>
      </c>
      <c r="D6" s="32"/>
      <c r="E6" s="32" t="s">
        <v>140</v>
      </c>
      <c r="F6" s="30"/>
      <c r="G6" s="33"/>
      <c r="H6" s="32" t="str">
        <f t="shared" ref="H6:H13" si="0">IF(F6="","",F6*(1+IFERROR(G6,0)))</f>
        <v/>
      </c>
      <c r="I6" s="34"/>
      <c r="J6" s="35" t="str">
        <f t="shared" ref="J6:J13" si="1">IFERROR(H6*I6,"")</f>
        <v/>
      </c>
      <c r="K6" s="35" t="str">
        <f>IFERROR(J6*Продукт!B7,"")</f>
        <v/>
      </c>
      <c r="L6" s="32"/>
      <c r="M6" s="32"/>
      <c r="N6" s="32"/>
      <c r="O6" s="32"/>
    </row>
    <row r="7" spans="1:15" x14ac:dyDescent="0.3">
      <c r="A7" s="32">
        <v>2</v>
      </c>
      <c r="B7" s="32" t="s">
        <v>138</v>
      </c>
      <c r="C7" s="32" t="s">
        <v>141</v>
      </c>
      <c r="D7" s="32"/>
      <c r="E7" s="32" t="s">
        <v>140</v>
      </c>
      <c r="F7" s="30"/>
      <c r="G7" s="33"/>
      <c r="H7" s="32" t="str">
        <f t="shared" si="0"/>
        <v/>
      </c>
      <c r="I7" s="34"/>
      <c r="J7" s="35" t="str">
        <f t="shared" si="1"/>
        <v/>
      </c>
      <c r="K7" s="35" t="str">
        <f>IFERROR(J7*Продукт!B7,"")</f>
        <v/>
      </c>
      <c r="L7" s="32"/>
      <c r="M7" s="32"/>
      <c r="N7" s="32"/>
      <c r="O7" s="32"/>
    </row>
    <row r="8" spans="1:15" x14ac:dyDescent="0.3">
      <c r="A8" s="32">
        <v>3</v>
      </c>
      <c r="B8" s="32" t="s">
        <v>138</v>
      </c>
      <c r="C8" s="32" t="s">
        <v>142</v>
      </c>
      <c r="D8" s="32"/>
      <c r="E8" s="32" t="s">
        <v>75</v>
      </c>
      <c r="F8" s="30"/>
      <c r="G8" s="33"/>
      <c r="H8" s="32" t="str">
        <f t="shared" si="0"/>
        <v/>
      </c>
      <c r="I8" s="34"/>
      <c r="J8" s="35" t="str">
        <f t="shared" si="1"/>
        <v/>
      </c>
      <c r="K8" s="35" t="str">
        <f>IFERROR(J8*Продукт!B7,"")</f>
        <v/>
      </c>
      <c r="L8" s="32"/>
      <c r="M8" s="32"/>
      <c r="N8" s="32"/>
      <c r="O8" s="32"/>
    </row>
    <row r="9" spans="1:15" x14ac:dyDescent="0.3">
      <c r="A9" s="32">
        <v>4</v>
      </c>
      <c r="B9" s="32" t="s">
        <v>138</v>
      </c>
      <c r="C9" s="32"/>
      <c r="D9" s="32"/>
      <c r="E9" s="32"/>
      <c r="F9" s="30"/>
      <c r="G9" s="33"/>
      <c r="H9" s="32" t="str">
        <f t="shared" si="0"/>
        <v/>
      </c>
      <c r="I9" s="34"/>
      <c r="J9" s="35" t="str">
        <f t="shared" si="1"/>
        <v/>
      </c>
      <c r="K9" s="35" t="str">
        <f>IFERROR(J9*Продукт!B7,"")</f>
        <v/>
      </c>
      <c r="L9" s="32"/>
      <c r="M9" s="32"/>
      <c r="N9" s="32"/>
      <c r="O9" s="32"/>
    </row>
    <row r="10" spans="1:15" x14ac:dyDescent="0.3">
      <c r="A10" s="32">
        <v>5</v>
      </c>
      <c r="B10" s="32" t="s">
        <v>138</v>
      </c>
      <c r="C10" s="32"/>
      <c r="D10" s="32"/>
      <c r="E10" s="32"/>
      <c r="F10" s="30"/>
      <c r="G10" s="33"/>
      <c r="H10" s="32" t="str">
        <f t="shared" si="0"/>
        <v/>
      </c>
      <c r="I10" s="34"/>
      <c r="J10" s="35" t="str">
        <f t="shared" si="1"/>
        <v/>
      </c>
      <c r="K10" s="35" t="str">
        <f>IFERROR(J10*Продукт!B7,"")</f>
        <v/>
      </c>
      <c r="L10" s="32"/>
      <c r="M10" s="32"/>
      <c r="N10" s="32"/>
      <c r="O10" s="32"/>
    </row>
    <row r="11" spans="1:15" x14ac:dyDescent="0.3">
      <c r="A11" s="32">
        <v>6</v>
      </c>
      <c r="B11" s="32" t="s">
        <v>138</v>
      </c>
      <c r="C11" s="32"/>
      <c r="D11" s="32"/>
      <c r="E11" s="32"/>
      <c r="F11" s="30"/>
      <c r="G11" s="33"/>
      <c r="H11" s="32" t="str">
        <f t="shared" si="0"/>
        <v/>
      </c>
      <c r="I11" s="34"/>
      <c r="J11" s="35" t="str">
        <f t="shared" si="1"/>
        <v/>
      </c>
      <c r="K11" s="35" t="str">
        <f>IFERROR(J11*Продукт!B7,"")</f>
        <v/>
      </c>
      <c r="L11" s="32"/>
      <c r="M11" s="32"/>
      <c r="N11" s="32"/>
      <c r="O11" s="32"/>
    </row>
    <row r="12" spans="1:15" x14ac:dyDescent="0.3">
      <c r="A12" s="32">
        <v>7</v>
      </c>
      <c r="B12" s="32" t="s">
        <v>138</v>
      </c>
      <c r="C12" s="32"/>
      <c r="D12" s="32"/>
      <c r="E12" s="32"/>
      <c r="F12" s="30"/>
      <c r="G12" s="33"/>
      <c r="H12" s="32" t="str">
        <f t="shared" si="0"/>
        <v/>
      </c>
      <c r="I12" s="34"/>
      <c r="J12" s="35" t="str">
        <f t="shared" si="1"/>
        <v/>
      </c>
      <c r="K12" s="35" t="str">
        <f>IFERROR(J12*Продукт!B7,"")</f>
        <v/>
      </c>
      <c r="L12" s="32"/>
      <c r="M12" s="32"/>
      <c r="N12" s="32"/>
      <c r="O12" s="32"/>
    </row>
    <row r="13" spans="1:15" x14ac:dyDescent="0.3">
      <c r="A13" s="32">
        <v>8</v>
      </c>
      <c r="B13" s="32" t="s">
        <v>138</v>
      </c>
      <c r="C13" s="32"/>
      <c r="D13" s="32"/>
      <c r="E13" s="32"/>
      <c r="F13" s="30"/>
      <c r="G13" s="33"/>
      <c r="H13" s="32" t="str">
        <f t="shared" si="0"/>
        <v/>
      </c>
      <c r="I13" s="34"/>
      <c r="J13" s="35" t="str">
        <f t="shared" si="1"/>
        <v/>
      </c>
      <c r="K13" s="35" t="str">
        <f>IFERROR(J13*Продукт!B7,"")</f>
        <v/>
      </c>
      <c r="L13" s="32"/>
      <c r="M13" s="32"/>
      <c r="N13" s="32"/>
      <c r="O13" s="32"/>
    </row>
    <row r="14" spans="1:15" x14ac:dyDescent="0.3">
      <c r="A14" s="8" t="s">
        <v>143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3">
      <c r="A15" s="32">
        <v>9</v>
      </c>
      <c r="B15" s="32" t="s">
        <v>143</v>
      </c>
      <c r="C15" s="32" t="s">
        <v>144</v>
      </c>
      <c r="D15" s="32"/>
      <c r="E15" s="32" t="s">
        <v>75</v>
      </c>
      <c r="F15" s="30"/>
      <c r="G15" s="33"/>
      <c r="H15" s="32" t="str">
        <f t="shared" ref="H15:H22" si="2">IF(F15="","",F15*(1+IFERROR(G15,0)))</f>
        <v/>
      </c>
      <c r="I15" s="34"/>
      <c r="J15" s="35" t="str">
        <f t="shared" ref="J15:J22" si="3">IFERROR(H15*I15,"")</f>
        <v/>
      </c>
      <c r="K15" s="35" t="str">
        <f>IFERROR(J15*Продукт!B7,"")</f>
        <v/>
      </c>
      <c r="L15" s="32"/>
      <c r="M15" s="32"/>
      <c r="N15" s="32"/>
      <c r="O15" s="32"/>
    </row>
    <row r="16" spans="1:15" x14ac:dyDescent="0.3">
      <c r="A16" s="32">
        <v>10</v>
      </c>
      <c r="B16" s="32" t="s">
        <v>143</v>
      </c>
      <c r="C16" s="32" t="s">
        <v>145</v>
      </c>
      <c r="D16" s="32"/>
      <c r="E16" s="32" t="s">
        <v>75</v>
      </c>
      <c r="F16" s="30"/>
      <c r="G16" s="33"/>
      <c r="H16" s="32" t="str">
        <f t="shared" si="2"/>
        <v/>
      </c>
      <c r="I16" s="34"/>
      <c r="J16" s="35" t="str">
        <f t="shared" si="3"/>
        <v/>
      </c>
      <c r="K16" s="35" t="str">
        <f>IFERROR(J16*Продукт!B7,"")</f>
        <v/>
      </c>
      <c r="L16" s="32"/>
      <c r="M16" s="32"/>
      <c r="N16" s="32"/>
      <c r="O16" s="32"/>
    </row>
    <row r="17" spans="1:15" x14ac:dyDescent="0.3">
      <c r="A17" s="32">
        <v>11</v>
      </c>
      <c r="B17" s="32" t="s">
        <v>143</v>
      </c>
      <c r="C17" s="32" t="s">
        <v>146</v>
      </c>
      <c r="D17" s="32"/>
      <c r="E17" s="32" t="s">
        <v>75</v>
      </c>
      <c r="F17" s="30"/>
      <c r="G17" s="33"/>
      <c r="H17" s="32" t="str">
        <f t="shared" si="2"/>
        <v/>
      </c>
      <c r="I17" s="34"/>
      <c r="J17" s="35" t="str">
        <f t="shared" si="3"/>
        <v/>
      </c>
      <c r="K17" s="35" t="str">
        <f>IFERROR(J17*Продукт!B7,"")</f>
        <v/>
      </c>
      <c r="L17" s="32"/>
      <c r="M17" s="32"/>
      <c r="N17" s="32"/>
      <c r="O17" s="32"/>
    </row>
    <row r="18" spans="1:15" x14ac:dyDescent="0.3">
      <c r="A18" s="32">
        <v>12</v>
      </c>
      <c r="B18" s="32" t="s">
        <v>143</v>
      </c>
      <c r="C18" s="32"/>
      <c r="D18" s="32"/>
      <c r="E18" s="32"/>
      <c r="F18" s="30"/>
      <c r="G18" s="33"/>
      <c r="H18" s="32" t="str">
        <f t="shared" si="2"/>
        <v/>
      </c>
      <c r="I18" s="34"/>
      <c r="J18" s="35" t="str">
        <f t="shared" si="3"/>
        <v/>
      </c>
      <c r="K18" s="35" t="str">
        <f>IFERROR(J18*Продукт!B7,"")</f>
        <v/>
      </c>
      <c r="L18" s="32"/>
      <c r="M18" s="32"/>
      <c r="N18" s="32"/>
      <c r="O18" s="32"/>
    </row>
    <row r="19" spans="1:15" x14ac:dyDescent="0.3">
      <c r="A19" s="32">
        <v>13</v>
      </c>
      <c r="B19" s="32" t="s">
        <v>143</v>
      </c>
      <c r="C19" s="32"/>
      <c r="D19" s="32"/>
      <c r="E19" s="32"/>
      <c r="F19" s="30"/>
      <c r="G19" s="33"/>
      <c r="H19" s="32" t="str">
        <f t="shared" si="2"/>
        <v/>
      </c>
      <c r="I19" s="34"/>
      <c r="J19" s="35" t="str">
        <f t="shared" si="3"/>
        <v/>
      </c>
      <c r="K19" s="35" t="str">
        <f>IFERROR(J19*Продукт!B7,"")</f>
        <v/>
      </c>
      <c r="L19" s="32"/>
      <c r="M19" s="32"/>
      <c r="N19" s="32"/>
      <c r="O19" s="32"/>
    </row>
    <row r="20" spans="1:15" x14ac:dyDescent="0.3">
      <c r="A20" s="32">
        <v>14</v>
      </c>
      <c r="B20" s="32" t="s">
        <v>143</v>
      </c>
      <c r="C20" s="32"/>
      <c r="D20" s="32"/>
      <c r="E20" s="32"/>
      <c r="F20" s="30"/>
      <c r="G20" s="33"/>
      <c r="H20" s="32" t="str">
        <f t="shared" si="2"/>
        <v/>
      </c>
      <c r="I20" s="34"/>
      <c r="J20" s="35" t="str">
        <f t="shared" si="3"/>
        <v/>
      </c>
      <c r="K20" s="35" t="str">
        <f>IFERROR(J20*Продукт!B7,"")</f>
        <v/>
      </c>
      <c r="L20" s="32"/>
      <c r="M20" s="32"/>
      <c r="N20" s="32"/>
      <c r="O20" s="32"/>
    </row>
    <row r="21" spans="1:15" x14ac:dyDescent="0.3">
      <c r="A21" s="32">
        <v>15</v>
      </c>
      <c r="B21" s="32" t="s">
        <v>143</v>
      </c>
      <c r="C21" s="32"/>
      <c r="D21" s="32"/>
      <c r="E21" s="32"/>
      <c r="F21" s="30"/>
      <c r="G21" s="33"/>
      <c r="H21" s="32" t="str">
        <f t="shared" si="2"/>
        <v/>
      </c>
      <c r="I21" s="34"/>
      <c r="J21" s="35" t="str">
        <f t="shared" si="3"/>
        <v/>
      </c>
      <c r="K21" s="35" t="str">
        <f>IFERROR(J21*Продукт!B7,"")</f>
        <v/>
      </c>
      <c r="L21" s="32"/>
      <c r="M21" s="32"/>
      <c r="N21" s="32"/>
      <c r="O21" s="32"/>
    </row>
    <row r="22" spans="1:15" x14ac:dyDescent="0.3">
      <c r="A22" s="32">
        <v>16</v>
      </c>
      <c r="B22" s="32" t="s">
        <v>143</v>
      </c>
      <c r="C22" s="32"/>
      <c r="D22" s="32"/>
      <c r="E22" s="32"/>
      <c r="F22" s="30"/>
      <c r="G22" s="33"/>
      <c r="H22" s="32" t="str">
        <f t="shared" si="2"/>
        <v/>
      </c>
      <c r="I22" s="34"/>
      <c r="J22" s="35" t="str">
        <f t="shared" si="3"/>
        <v/>
      </c>
      <c r="K22" s="35" t="str">
        <f>IFERROR(J22*Продукт!B7,"")</f>
        <v/>
      </c>
      <c r="L22" s="32"/>
      <c r="M22" s="32"/>
      <c r="N22" s="32"/>
      <c r="O22" s="32"/>
    </row>
    <row r="23" spans="1:15" x14ac:dyDescent="0.3">
      <c r="A23" s="8" t="s">
        <v>147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3">
      <c r="A24" s="32">
        <v>17</v>
      </c>
      <c r="B24" s="32" t="s">
        <v>147</v>
      </c>
      <c r="C24" s="32" t="s">
        <v>148</v>
      </c>
      <c r="D24" s="32"/>
      <c r="E24" s="32" t="s">
        <v>75</v>
      </c>
      <c r="F24" s="30"/>
      <c r="G24" s="33"/>
      <c r="H24" s="32" t="str">
        <f t="shared" ref="H24:H32" si="4">IF(F24="","",F24*(1+IFERROR(G24,0)))</f>
        <v/>
      </c>
      <c r="I24" s="34"/>
      <c r="J24" s="35" t="str">
        <f t="shared" ref="J24:J32" si="5">IFERROR(H24*I24,"")</f>
        <v/>
      </c>
      <c r="K24" s="35" t="str">
        <f>IFERROR(J24*Продукт!B7,"")</f>
        <v/>
      </c>
      <c r="L24" s="32"/>
      <c r="M24" s="32"/>
      <c r="N24" s="32"/>
      <c r="O24" s="32"/>
    </row>
    <row r="25" spans="1:15" x14ac:dyDescent="0.3">
      <c r="A25" s="32">
        <v>18</v>
      </c>
      <c r="B25" s="32" t="s">
        <v>147</v>
      </c>
      <c r="C25" s="32" t="s">
        <v>149</v>
      </c>
      <c r="D25" s="32"/>
      <c r="E25" s="32" t="s">
        <v>121</v>
      </c>
      <c r="F25" s="30"/>
      <c r="G25" s="33"/>
      <c r="H25" s="32" t="str">
        <f t="shared" si="4"/>
        <v/>
      </c>
      <c r="I25" s="34"/>
      <c r="J25" s="35" t="str">
        <f t="shared" si="5"/>
        <v/>
      </c>
      <c r="K25" s="35" t="str">
        <f>IFERROR(J25*Продукт!B7,"")</f>
        <v/>
      </c>
      <c r="L25" s="32"/>
      <c r="M25" s="32"/>
      <c r="N25" s="32"/>
      <c r="O25" s="32"/>
    </row>
    <row r="26" spans="1:15" x14ac:dyDescent="0.3">
      <c r="A26" s="32">
        <v>19</v>
      </c>
      <c r="B26" s="32" t="s">
        <v>147</v>
      </c>
      <c r="C26" s="32" t="s">
        <v>150</v>
      </c>
      <c r="D26" s="32"/>
      <c r="E26" s="32" t="s">
        <v>121</v>
      </c>
      <c r="F26" s="30"/>
      <c r="G26" s="33"/>
      <c r="H26" s="32" t="str">
        <f t="shared" si="4"/>
        <v/>
      </c>
      <c r="I26" s="34"/>
      <c r="J26" s="35" t="str">
        <f t="shared" si="5"/>
        <v/>
      </c>
      <c r="K26" s="35" t="str">
        <f>IFERROR(J26*Продукт!B7,"")</f>
        <v/>
      </c>
      <c r="L26" s="32"/>
      <c r="M26" s="32"/>
      <c r="N26" s="32"/>
      <c r="O26" s="32"/>
    </row>
    <row r="27" spans="1:15" x14ac:dyDescent="0.3">
      <c r="A27" s="32">
        <v>20</v>
      </c>
      <c r="B27" s="32" t="s">
        <v>147</v>
      </c>
      <c r="C27" s="32" t="s">
        <v>151</v>
      </c>
      <c r="D27" s="32"/>
      <c r="E27" s="32" t="s">
        <v>75</v>
      </c>
      <c r="F27" s="30"/>
      <c r="G27" s="33"/>
      <c r="H27" s="32" t="str">
        <f t="shared" si="4"/>
        <v/>
      </c>
      <c r="I27" s="34"/>
      <c r="J27" s="35" t="str">
        <f t="shared" si="5"/>
        <v/>
      </c>
      <c r="K27" s="35" t="str">
        <f>IFERROR(J27*Продукт!B7,"")</f>
        <v/>
      </c>
      <c r="L27" s="32"/>
      <c r="M27" s="32"/>
      <c r="N27" s="32"/>
      <c r="O27" s="32"/>
    </row>
    <row r="28" spans="1:15" x14ac:dyDescent="0.3">
      <c r="A28" s="32">
        <v>21</v>
      </c>
      <c r="B28" s="32" t="s">
        <v>147</v>
      </c>
      <c r="C28" s="32"/>
      <c r="D28" s="32"/>
      <c r="E28" s="32"/>
      <c r="F28" s="30"/>
      <c r="G28" s="33"/>
      <c r="H28" s="32" t="str">
        <f t="shared" si="4"/>
        <v/>
      </c>
      <c r="I28" s="34"/>
      <c r="J28" s="35" t="str">
        <f t="shared" si="5"/>
        <v/>
      </c>
      <c r="K28" s="35" t="str">
        <f>IFERROR(J28*Продукт!B7,"")</f>
        <v/>
      </c>
      <c r="L28" s="32"/>
      <c r="M28" s="32"/>
      <c r="N28" s="32"/>
      <c r="O28" s="32"/>
    </row>
    <row r="29" spans="1:15" x14ac:dyDescent="0.3">
      <c r="A29" s="32">
        <v>22</v>
      </c>
      <c r="B29" s="32" t="s">
        <v>147</v>
      </c>
      <c r="C29" s="32"/>
      <c r="D29" s="32"/>
      <c r="E29" s="32"/>
      <c r="F29" s="30"/>
      <c r="G29" s="33"/>
      <c r="H29" s="32" t="str">
        <f t="shared" si="4"/>
        <v/>
      </c>
      <c r="I29" s="34"/>
      <c r="J29" s="35" t="str">
        <f t="shared" si="5"/>
        <v/>
      </c>
      <c r="K29" s="35" t="str">
        <f>IFERROR(J29*Продукт!B7,"")</f>
        <v/>
      </c>
      <c r="L29" s="32"/>
      <c r="M29" s="32"/>
      <c r="N29" s="32"/>
      <c r="O29" s="32"/>
    </row>
    <row r="30" spans="1:15" x14ac:dyDescent="0.3">
      <c r="A30" s="32">
        <v>23</v>
      </c>
      <c r="B30" s="32" t="s">
        <v>147</v>
      </c>
      <c r="C30" s="32"/>
      <c r="D30" s="32"/>
      <c r="E30" s="32"/>
      <c r="F30" s="30"/>
      <c r="G30" s="33"/>
      <c r="H30" s="32" t="str">
        <f t="shared" si="4"/>
        <v/>
      </c>
      <c r="I30" s="34"/>
      <c r="J30" s="35" t="str">
        <f t="shared" si="5"/>
        <v/>
      </c>
      <c r="K30" s="35" t="str">
        <f>IFERROR(J30*Продукт!B7,"")</f>
        <v/>
      </c>
      <c r="L30" s="32"/>
      <c r="M30" s="32"/>
      <c r="N30" s="32"/>
      <c r="O30" s="32"/>
    </row>
    <row r="31" spans="1:15" x14ac:dyDescent="0.3">
      <c r="A31" s="32">
        <v>24</v>
      </c>
      <c r="B31" s="32" t="s">
        <v>147</v>
      </c>
      <c r="C31" s="32"/>
      <c r="D31" s="32"/>
      <c r="E31" s="32"/>
      <c r="F31" s="30"/>
      <c r="G31" s="33"/>
      <c r="H31" s="32" t="str">
        <f t="shared" si="4"/>
        <v/>
      </c>
      <c r="I31" s="34"/>
      <c r="J31" s="35" t="str">
        <f t="shared" si="5"/>
        <v/>
      </c>
      <c r="K31" s="35" t="str">
        <f>IFERROR(J31*Продукт!B7,"")</f>
        <v/>
      </c>
      <c r="L31" s="32"/>
      <c r="M31" s="32"/>
      <c r="N31" s="32"/>
      <c r="O31" s="32"/>
    </row>
    <row r="32" spans="1:15" x14ac:dyDescent="0.3">
      <c r="A32" s="32">
        <v>25</v>
      </c>
      <c r="B32" s="32" t="s">
        <v>147</v>
      </c>
      <c r="C32" s="32"/>
      <c r="D32" s="32"/>
      <c r="E32" s="32"/>
      <c r="F32" s="30"/>
      <c r="G32" s="33"/>
      <c r="H32" s="32" t="str">
        <f t="shared" si="4"/>
        <v/>
      </c>
      <c r="I32" s="34"/>
      <c r="J32" s="35" t="str">
        <f t="shared" si="5"/>
        <v/>
      </c>
      <c r="K32" s="35" t="str">
        <f>IFERROR(J32*Продукт!B7,"")</f>
        <v/>
      </c>
      <c r="L32" s="32"/>
      <c r="M32" s="32"/>
      <c r="N32" s="32"/>
      <c r="O32" s="32"/>
    </row>
    <row r="33" spans="1:15" x14ac:dyDescent="0.3">
      <c r="A33" s="7" t="s">
        <v>126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3">
      <c r="A34" s="32">
        <v>26</v>
      </c>
      <c r="B34" s="32"/>
      <c r="C34" s="32"/>
      <c r="D34" s="32"/>
      <c r="E34" s="32"/>
      <c r="F34" s="30"/>
      <c r="G34" s="33"/>
      <c r="H34" s="32" t="str">
        <f>IF(F34="","",F34*(1+IFERROR(G34,0)))</f>
        <v/>
      </c>
      <c r="I34" s="34"/>
      <c r="J34" s="35" t="str">
        <f>IFERROR(H34*I34,"")</f>
        <v/>
      </c>
      <c r="K34" s="35" t="str">
        <f>IFERROR(J34*Продукт!B7,"")</f>
        <v/>
      </c>
      <c r="L34" s="32"/>
      <c r="M34" s="32"/>
      <c r="N34" s="32"/>
      <c r="O34" s="32"/>
    </row>
    <row r="35" spans="1:15" x14ac:dyDescent="0.3">
      <c r="A35" s="32">
        <v>27</v>
      </c>
      <c r="B35" s="32"/>
      <c r="C35" s="32"/>
      <c r="D35" s="32"/>
      <c r="E35" s="32"/>
      <c r="F35" s="30"/>
      <c r="G35" s="33"/>
      <c r="H35" s="32" t="str">
        <f>IF(F35="","",F35*(1+IFERROR(G35,0)))</f>
        <v/>
      </c>
      <c r="I35" s="34"/>
      <c r="J35" s="35" t="str">
        <f>IFERROR(H35*I35,"")</f>
        <v/>
      </c>
      <c r="K35" s="35" t="str">
        <f>IFERROR(J35*Продукт!B7,"")</f>
        <v/>
      </c>
      <c r="L35" s="32"/>
      <c r="M35" s="32"/>
      <c r="N35" s="32"/>
      <c r="O35" s="32"/>
    </row>
    <row r="36" spans="1:15" x14ac:dyDescent="0.3">
      <c r="A36" s="32">
        <v>28</v>
      </c>
      <c r="B36" s="32"/>
      <c r="C36" s="32"/>
      <c r="D36" s="32"/>
      <c r="E36" s="32"/>
      <c r="F36" s="30"/>
      <c r="G36" s="33"/>
      <c r="H36" s="32" t="str">
        <f>IF(F36="","",F36*(1+IFERROR(G36,0)))</f>
        <v/>
      </c>
      <c r="I36" s="34"/>
      <c r="J36" s="35" t="str">
        <f>IFERROR(H36*I36,"")</f>
        <v/>
      </c>
      <c r="K36" s="35" t="str">
        <f>IFERROR(J36*Продукт!B7,"")</f>
        <v/>
      </c>
      <c r="L36" s="32"/>
      <c r="M36" s="32"/>
      <c r="N36" s="32"/>
      <c r="O36" s="32"/>
    </row>
    <row r="37" spans="1:15" x14ac:dyDescent="0.3">
      <c r="A37" s="32">
        <v>29</v>
      </c>
      <c r="B37" s="32"/>
      <c r="C37" s="32"/>
      <c r="D37" s="32"/>
      <c r="E37" s="32"/>
      <c r="F37" s="30"/>
      <c r="G37" s="33"/>
      <c r="H37" s="32" t="str">
        <f>IF(F37="","",F37*(1+IFERROR(G37,0)))</f>
        <v/>
      </c>
      <c r="I37" s="34"/>
      <c r="J37" s="35" t="str">
        <f>IFERROR(H37*I37,"")</f>
        <v/>
      </c>
      <c r="K37" s="35" t="str">
        <f>IFERROR(J37*Продукт!B7,"")</f>
        <v/>
      </c>
      <c r="L37" s="32"/>
      <c r="M37" s="32"/>
      <c r="N37" s="32"/>
      <c r="O37" s="32"/>
    </row>
    <row r="38" spans="1:15" x14ac:dyDescent="0.3">
      <c r="A38" s="32">
        <v>30</v>
      </c>
      <c r="B38" s="32"/>
      <c r="C38" s="32"/>
      <c r="D38" s="32"/>
      <c r="E38" s="32"/>
      <c r="F38" s="30"/>
      <c r="G38" s="33"/>
      <c r="H38" s="32" t="str">
        <f>IF(F38="","",F38*(1+IFERROR(G38,0)))</f>
        <v/>
      </c>
      <c r="I38" s="34"/>
      <c r="J38" s="35" t="str">
        <f>IFERROR(H38*I38,"")</f>
        <v/>
      </c>
      <c r="K38" s="35" t="str">
        <f>IFERROR(J38*Продукт!B7,"")</f>
        <v/>
      </c>
      <c r="L38" s="32"/>
      <c r="M38" s="32"/>
      <c r="N38" s="32"/>
      <c r="O38" s="32"/>
    </row>
    <row r="40" spans="1:15" x14ac:dyDescent="0.3">
      <c r="A40" s="6" t="s">
        <v>127</v>
      </c>
      <c r="B40" s="6"/>
      <c r="C40" s="6"/>
      <c r="D40" s="6"/>
      <c r="E40" s="6"/>
      <c r="F40" s="6"/>
      <c r="G40" s="6"/>
      <c r="H40" s="6"/>
      <c r="I40" s="6"/>
      <c r="J40" s="36">
        <f>SUMIF(J5:J38,"&gt;0")</f>
        <v>0</v>
      </c>
      <c r="K40" s="36">
        <f>SUMIF(K5:K38,"&gt;0")</f>
        <v>0</v>
      </c>
      <c r="L40" s="18"/>
      <c r="M40" s="18"/>
      <c r="N40" s="18"/>
      <c r="O40" s="18"/>
    </row>
  </sheetData>
  <mergeCells count="7">
    <mergeCell ref="A33:O33"/>
    <mergeCell ref="A40:I40"/>
    <mergeCell ref="A1:O1"/>
    <mergeCell ref="A2:O2"/>
    <mergeCell ref="A5:O5"/>
    <mergeCell ref="A14:O14"/>
    <mergeCell ref="A23:O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O1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6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4" t="s">
        <v>152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3">
      <c r="A2" s="9" t="s">
        <v>94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4" spans="1:15" ht="45" customHeight="1" x14ac:dyDescent="0.3">
      <c r="A4" s="28" t="s">
        <v>95</v>
      </c>
      <c r="B4" s="28" t="s">
        <v>96</v>
      </c>
      <c r="C4" s="28" t="s">
        <v>97</v>
      </c>
      <c r="D4" s="28" t="s">
        <v>98</v>
      </c>
      <c r="E4" s="28" t="s">
        <v>99</v>
      </c>
      <c r="F4" s="28" t="s">
        <v>100</v>
      </c>
      <c r="G4" s="28" t="s">
        <v>101</v>
      </c>
      <c r="H4" s="28" t="s">
        <v>102</v>
      </c>
      <c r="I4" s="28" t="s">
        <v>103</v>
      </c>
      <c r="J4" s="28" t="s">
        <v>104</v>
      </c>
      <c r="K4" s="28" t="s">
        <v>105</v>
      </c>
      <c r="L4" s="28" t="s">
        <v>106</v>
      </c>
      <c r="M4" s="28" t="s">
        <v>107</v>
      </c>
      <c r="N4" s="28" t="s">
        <v>108</v>
      </c>
      <c r="O4" s="28" t="s">
        <v>109</v>
      </c>
    </row>
    <row r="5" spans="1:15" x14ac:dyDescent="0.3">
      <c r="A5" s="8" t="s">
        <v>153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26.4" x14ac:dyDescent="0.3">
      <c r="A6" s="32">
        <v>1</v>
      </c>
      <c r="B6" s="32" t="s">
        <v>153</v>
      </c>
      <c r="C6" s="32" t="s">
        <v>154</v>
      </c>
      <c r="D6" s="32"/>
      <c r="E6" s="32" t="s">
        <v>75</v>
      </c>
      <c r="F6" s="30"/>
      <c r="G6" s="33"/>
      <c r="H6" s="32" t="str">
        <f t="shared" ref="H6:H11" si="0">IF(F6="","",F6*(1+IFERROR(G6,0)))</f>
        <v/>
      </c>
      <c r="I6" s="34"/>
      <c r="J6" s="35" t="str">
        <f t="shared" ref="J6:J11" si="1">IFERROR(H6*I6,"")</f>
        <v/>
      </c>
      <c r="K6" s="35" t="str">
        <f>IFERROR(J6*Продукт!B7,"")</f>
        <v/>
      </c>
      <c r="L6" s="32"/>
      <c r="M6" s="32"/>
      <c r="N6" s="32"/>
      <c r="O6" s="32"/>
    </row>
    <row r="7" spans="1:15" ht="26.4" x14ac:dyDescent="0.3">
      <c r="A7" s="32">
        <v>2</v>
      </c>
      <c r="B7" s="32" t="s">
        <v>153</v>
      </c>
      <c r="C7" s="32"/>
      <c r="D7" s="32"/>
      <c r="E7" s="32"/>
      <c r="F7" s="30"/>
      <c r="G7" s="33"/>
      <c r="H7" s="32" t="str">
        <f t="shared" si="0"/>
        <v/>
      </c>
      <c r="I7" s="34"/>
      <c r="J7" s="35" t="str">
        <f t="shared" si="1"/>
        <v/>
      </c>
      <c r="K7" s="35" t="str">
        <f>IFERROR(J7*Продукт!B7,"")</f>
        <v/>
      </c>
      <c r="L7" s="32"/>
      <c r="M7" s="32"/>
      <c r="N7" s="32"/>
      <c r="O7" s="32"/>
    </row>
    <row r="8" spans="1:15" ht="26.4" x14ac:dyDescent="0.3">
      <c r="A8" s="32">
        <v>3</v>
      </c>
      <c r="B8" s="32" t="s">
        <v>153</v>
      </c>
      <c r="C8" s="32"/>
      <c r="D8" s="32"/>
      <c r="E8" s="32"/>
      <c r="F8" s="30"/>
      <c r="G8" s="33"/>
      <c r="H8" s="32" t="str">
        <f t="shared" si="0"/>
        <v/>
      </c>
      <c r="I8" s="34"/>
      <c r="J8" s="35" t="str">
        <f t="shared" si="1"/>
        <v/>
      </c>
      <c r="K8" s="35" t="str">
        <f>IFERROR(J8*Продукт!B7,"")</f>
        <v/>
      </c>
      <c r="L8" s="32"/>
      <c r="M8" s="32"/>
      <c r="N8" s="32"/>
      <c r="O8" s="32"/>
    </row>
    <row r="9" spans="1:15" ht="26.4" x14ac:dyDescent="0.3">
      <c r="A9" s="32">
        <v>4</v>
      </c>
      <c r="B9" s="32" t="s">
        <v>153</v>
      </c>
      <c r="C9" s="32"/>
      <c r="D9" s="32"/>
      <c r="E9" s="32"/>
      <c r="F9" s="30"/>
      <c r="G9" s="33"/>
      <c r="H9" s="32" t="str">
        <f t="shared" si="0"/>
        <v/>
      </c>
      <c r="I9" s="34"/>
      <c r="J9" s="35" t="str">
        <f t="shared" si="1"/>
        <v/>
      </c>
      <c r="K9" s="35" t="str">
        <f>IFERROR(J9*Продукт!B7,"")</f>
        <v/>
      </c>
      <c r="L9" s="32"/>
      <c r="M9" s="32"/>
      <c r="N9" s="32"/>
      <c r="O9" s="32"/>
    </row>
    <row r="10" spans="1:15" ht="26.4" x14ac:dyDescent="0.3">
      <c r="A10" s="32">
        <v>5</v>
      </c>
      <c r="B10" s="32" t="s">
        <v>153</v>
      </c>
      <c r="C10" s="32"/>
      <c r="D10" s="32"/>
      <c r="E10" s="32"/>
      <c r="F10" s="30"/>
      <c r="G10" s="33"/>
      <c r="H10" s="32" t="str">
        <f t="shared" si="0"/>
        <v/>
      </c>
      <c r="I10" s="34"/>
      <c r="J10" s="35" t="str">
        <f t="shared" si="1"/>
        <v/>
      </c>
      <c r="K10" s="35" t="str">
        <f>IFERROR(J10*Продукт!B7,"")</f>
        <v/>
      </c>
      <c r="L10" s="32"/>
      <c r="M10" s="32"/>
      <c r="N10" s="32"/>
      <c r="O10" s="32"/>
    </row>
    <row r="11" spans="1:15" ht="26.4" x14ac:dyDescent="0.3">
      <c r="A11" s="32">
        <v>6</v>
      </c>
      <c r="B11" s="32" t="s">
        <v>153</v>
      </c>
      <c r="C11" s="32"/>
      <c r="D11" s="32"/>
      <c r="E11" s="32"/>
      <c r="F11" s="30"/>
      <c r="G11" s="33"/>
      <c r="H11" s="32" t="str">
        <f t="shared" si="0"/>
        <v/>
      </c>
      <c r="I11" s="34"/>
      <c r="J11" s="35" t="str">
        <f t="shared" si="1"/>
        <v/>
      </c>
      <c r="K11" s="35" t="str">
        <f>IFERROR(J11*Продукт!B7,"")</f>
        <v/>
      </c>
      <c r="L11" s="32"/>
      <c r="M11" s="32"/>
      <c r="N11" s="32"/>
      <c r="O11" s="32"/>
    </row>
    <row r="12" spans="1:15" x14ac:dyDescent="0.3">
      <c r="A12" s="8" t="s">
        <v>155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3">
      <c r="A13" s="32">
        <v>7</v>
      </c>
      <c r="B13" s="32" t="s">
        <v>155</v>
      </c>
      <c r="C13" s="32" t="s">
        <v>156</v>
      </c>
      <c r="D13" s="32"/>
      <c r="E13" s="32" t="s">
        <v>75</v>
      </c>
      <c r="F13" s="30"/>
      <c r="G13" s="33"/>
      <c r="H13" s="32" t="str">
        <f t="shared" ref="H13:H19" si="2">IF(F13="","",F13*(1+IFERROR(G13,0)))</f>
        <v/>
      </c>
      <c r="I13" s="34"/>
      <c r="J13" s="35" t="str">
        <f t="shared" ref="J13:J19" si="3">IFERROR(H13*I13,"")</f>
        <v/>
      </c>
      <c r="K13" s="35" t="str">
        <f>IFERROR(J13*Продукт!B7,"")</f>
        <v/>
      </c>
      <c r="L13" s="32"/>
      <c r="M13" s="32"/>
      <c r="N13" s="32"/>
      <c r="O13" s="32"/>
    </row>
    <row r="14" spans="1:15" x14ac:dyDescent="0.3">
      <c r="A14" s="32">
        <v>8</v>
      </c>
      <c r="B14" s="32" t="s">
        <v>155</v>
      </c>
      <c r="C14" s="32" t="s">
        <v>157</v>
      </c>
      <c r="D14" s="32"/>
      <c r="E14" s="32" t="s">
        <v>75</v>
      </c>
      <c r="F14" s="30"/>
      <c r="G14" s="33"/>
      <c r="H14" s="32" t="str">
        <f t="shared" si="2"/>
        <v/>
      </c>
      <c r="I14" s="34"/>
      <c r="J14" s="35" t="str">
        <f t="shared" si="3"/>
        <v/>
      </c>
      <c r="K14" s="35" t="str">
        <f>IFERROR(J14*Продукт!B7,"")</f>
        <v/>
      </c>
      <c r="L14" s="32"/>
      <c r="M14" s="32"/>
      <c r="N14" s="32"/>
      <c r="O14" s="32"/>
    </row>
    <row r="15" spans="1:15" x14ac:dyDescent="0.3">
      <c r="A15" s="32">
        <v>9</v>
      </c>
      <c r="B15" s="32" t="s">
        <v>155</v>
      </c>
      <c r="C15" s="32"/>
      <c r="D15" s="32"/>
      <c r="E15" s="32"/>
      <c r="F15" s="30"/>
      <c r="G15" s="33"/>
      <c r="H15" s="32" t="str">
        <f t="shared" si="2"/>
        <v/>
      </c>
      <c r="I15" s="34"/>
      <c r="J15" s="35" t="str">
        <f t="shared" si="3"/>
        <v/>
      </c>
      <c r="K15" s="35" t="str">
        <f>IFERROR(J15*Продукт!B7,"")</f>
        <v/>
      </c>
      <c r="L15" s="32"/>
      <c r="M15" s="32"/>
      <c r="N15" s="32"/>
      <c r="O15" s="32"/>
    </row>
    <row r="16" spans="1:15" x14ac:dyDescent="0.3">
      <c r="A16" s="32">
        <v>10</v>
      </c>
      <c r="B16" s="32" t="s">
        <v>155</v>
      </c>
      <c r="C16" s="32"/>
      <c r="D16" s="32"/>
      <c r="E16" s="32"/>
      <c r="F16" s="30"/>
      <c r="G16" s="33"/>
      <c r="H16" s="32" t="str">
        <f t="shared" si="2"/>
        <v/>
      </c>
      <c r="I16" s="34"/>
      <c r="J16" s="35" t="str">
        <f t="shared" si="3"/>
        <v/>
      </c>
      <c r="K16" s="35" t="str">
        <f>IFERROR(J16*Продукт!B7,"")</f>
        <v/>
      </c>
      <c r="L16" s="32"/>
      <c r="M16" s="32"/>
      <c r="N16" s="32"/>
      <c r="O16" s="32"/>
    </row>
    <row r="17" spans="1:15" x14ac:dyDescent="0.3">
      <c r="A17" s="32">
        <v>11</v>
      </c>
      <c r="B17" s="32" t="s">
        <v>155</v>
      </c>
      <c r="C17" s="32"/>
      <c r="D17" s="32"/>
      <c r="E17" s="32"/>
      <c r="F17" s="30"/>
      <c r="G17" s="33"/>
      <c r="H17" s="32" t="str">
        <f t="shared" si="2"/>
        <v/>
      </c>
      <c r="I17" s="34"/>
      <c r="J17" s="35" t="str">
        <f t="shared" si="3"/>
        <v/>
      </c>
      <c r="K17" s="35" t="str">
        <f>IFERROR(J17*Продукт!B7,"")</f>
        <v/>
      </c>
      <c r="L17" s="32"/>
      <c r="M17" s="32"/>
      <c r="N17" s="32"/>
      <c r="O17" s="32"/>
    </row>
    <row r="18" spans="1:15" x14ac:dyDescent="0.3">
      <c r="A18" s="32">
        <v>12</v>
      </c>
      <c r="B18" s="32" t="s">
        <v>155</v>
      </c>
      <c r="C18" s="32"/>
      <c r="D18" s="32"/>
      <c r="E18" s="32"/>
      <c r="F18" s="30"/>
      <c r="G18" s="33"/>
      <c r="H18" s="32" t="str">
        <f t="shared" si="2"/>
        <v/>
      </c>
      <c r="I18" s="34"/>
      <c r="J18" s="35" t="str">
        <f t="shared" si="3"/>
        <v/>
      </c>
      <c r="K18" s="35" t="str">
        <f>IFERROR(J18*Продукт!B7,"")</f>
        <v/>
      </c>
      <c r="L18" s="32"/>
      <c r="M18" s="32"/>
      <c r="N18" s="32"/>
      <c r="O18" s="32"/>
    </row>
    <row r="19" spans="1:15" x14ac:dyDescent="0.3">
      <c r="A19" s="32">
        <v>13</v>
      </c>
      <c r="B19" s="32" t="s">
        <v>155</v>
      </c>
      <c r="C19" s="32"/>
      <c r="D19" s="32"/>
      <c r="E19" s="32"/>
      <c r="F19" s="30"/>
      <c r="G19" s="33"/>
      <c r="H19" s="32" t="str">
        <f t="shared" si="2"/>
        <v/>
      </c>
      <c r="I19" s="34"/>
      <c r="J19" s="35" t="str">
        <f t="shared" si="3"/>
        <v/>
      </c>
      <c r="K19" s="35" t="str">
        <f>IFERROR(J19*Продукт!B7,"")</f>
        <v/>
      </c>
      <c r="L19" s="32"/>
      <c r="M19" s="32"/>
      <c r="N19" s="32"/>
      <c r="O19" s="32"/>
    </row>
    <row r="20" spans="1:15" x14ac:dyDescent="0.3">
      <c r="A20" s="8" t="s">
        <v>158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26.4" x14ac:dyDescent="0.3">
      <c r="A21" s="32">
        <v>14</v>
      </c>
      <c r="B21" s="32" t="s">
        <v>158</v>
      </c>
      <c r="C21" s="32" t="s">
        <v>159</v>
      </c>
      <c r="D21" s="32"/>
      <c r="E21" s="32" t="s">
        <v>75</v>
      </c>
      <c r="F21" s="30"/>
      <c r="G21" s="33"/>
      <c r="H21" s="32" t="str">
        <f t="shared" ref="H21:H26" si="4">IF(F21="","",F21*(1+IFERROR(G21,0)))</f>
        <v/>
      </c>
      <c r="I21" s="34"/>
      <c r="J21" s="35" t="str">
        <f t="shared" ref="J21:J26" si="5">IFERROR(H21*I21,"")</f>
        <v/>
      </c>
      <c r="K21" s="35" t="str">
        <f>IFERROR(J21*Продукт!B7,"")</f>
        <v/>
      </c>
      <c r="L21" s="32"/>
      <c r="M21" s="32"/>
      <c r="N21" s="32"/>
      <c r="O21" s="32"/>
    </row>
    <row r="22" spans="1:15" ht="26.4" x14ac:dyDescent="0.3">
      <c r="A22" s="32">
        <v>15</v>
      </c>
      <c r="B22" s="32" t="s">
        <v>158</v>
      </c>
      <c r="C22" s="32"/>
      <c r="D22" s="32"/>
      <c r="E22" s="32"/>
      <c r="F22" s="30"/>
      <c r="G22" s="33"/>
      <c r="H22" s="32" t="str">
        <f t="shared" si="4"/>
        <v/>
      </c>
      <c r="I22" s="34"/>
      <c r="J22" s="35" t="str">
        <f t="shared" si="5"/>
        <v/>
      </c>
      <c r="K22" s="35" t="str">
        <f>IFERROR(J22*Продукт!B7,"")</f>
        <v/>
      </c>
      <c r="L22" s="32"/>
      <c r="M22" s="32"/>
      <c r="N22" s="32"/>
      <c r="O22" s="32"/>
    </row>
    <row r="23" spans="1:15" ht="26.4" x14ac:dyDescent="0.3">
      <c r="A23" s="32">
        <v>16</v>
      </c>
      <c r="B23" s="32" t="s">
        <v>158</v>
      </c>
      <c r="C23" s="32"/>
      <c r="D23" s="32"/>
      <c r="E23" s="32"/>
      <c r="F23" s="30"/>
      <c r="G23" s="33"/>
      <c r="H23" s="32" t="str">
        <f t="shared" si="4"/>
        <v/>
      </c>
      <c r="I23" s="34"/>
      <c r="J23" s="35" t="str">
        <f t="shared" si="5"/>
        <v/>
      </c>
      <c r="K23" s="35" t="str">
        <f>IFERROR(J23*Продукт!B7,"")</f>
        <v/>
      </c>
      <c r="L23" s="32"/>
      <c r="M23" s="32"/>
      <c r="N23" s="32"/>
      <c r="O23" s="32"/>
    </row>
    <row r="24" spans="1:15" ht="26.4" x14ac:dyDescent="0.3">
      <c r="A24" s="32">
        <v>17</v>
      </c>
      <c r="B24" s="32" t="s">
        <v>158</v>
      </c>
      <c r="C24" s="32"/>
      <c r="D24" s="32"/>
      <c r="E24" s="32"/>
      <c r="F24" s="30"/>
      <c r="G24" s="33"/>
      <c r="H24" s="32" t="str">
        <f t="shared" si="4"/>
        <v/>
      </c>
      <c r="I24" s="34"/>
      <c r="J24" s="35" t="str">
        <f t="shared" si="5"/>
        <v/>
      </c>
      <c r="K24" s="35" t="str">
        <f>IFERROR(J24*Продукт!B7,"")</f>
        <v/>
      </c>
      <c r="L24" s="32"/>
      <c r="M24" s="32"/>
      <c r="N24" s="32"/>
      <c r="O24" s="32"/>
    </row>
    <row r="25" spans="1:15" ht="26.4" x14ac:dyDescent="0.3">
      <c r="A25" s="32">
        <v>18</v>
      </c>
      <c r="B25" s="32" t="s">
        <v>158</v>
      </c>
      <c r="C25" s="32"/>
      <c r="D25" s="32"/>
      <c r="E25" s="32"/>
      <c r="F25" s="30"/>
      <c r="G25" s="33"/>
      <c r="H25" s="32" t="str">
        <f t="shared" si="4"/>
        <v/>
      </c>
      <c r="I25" s="34"/>
      <c r="J25" s="35" t="str">
        <f t="shared" si="5"/>
        <v/>
      </c>
      <c r="K25" s="35" t="str">
        <f>IFERROR(J25*Продукт!B7,"")</f>
        <v/>
      </c>
      <c r="L25" s="32"/>
      <c r="M25" s="32"/>
      <c r="N25" s="32"/>
      <c r="O25" s="32"/>
    </row>
    <row r="26" spans="1:15" ht="26.4" x14ac:dyDescent="0.3">
      <c r="A26" s="32">
        <v>19</v>
      </c>
      <c r="B26" s="32" t="s">
        <v>158</v>
      </c>
      <c r="C26" s="32"/>
      <c r="D26" s="32"/>
      <c r="E26" s="32"/>
      <c r="F26" s="30"/>
      <c r="G26" s="33"/>
      <c r="H26" s="32" t="str">
        <f t="shared" si="4"/>
        <v/>
      </c>
      <c r="I26" s="34"/>
      <c r="J26" s="35" t="str">
        <f t="shared" si="5"/>
        <v/>
      </c>
      <c r="K26" s="35" t="str">
        <f>IFERROR(J26*Продукт!B7,"")</f>
        <v/>
      </c>
      <c r="L26" s="32"/>
      <c r="M26" s="32"/>
      <c r="N26" s="32"/>
      <c r="O26" s="32"/>
    </row>
    <row r="27" spans="1:15" x14ac:dyDescent="0.3">
      <c r="A27" s="7" t="s">
        <v>126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3">
      <c r="A28" s="32">
        <v>20</v>
      </c>
      <c r="B28" s="32"/>
      <c r="C28" s="32"/>
      <c r="D28" s="32"/>
      <c r="E28" s="32"/>
      <c r="F28" s="30"/>
      <c r="G28" s="33"/>
      <c r="H28" s="32" t="str">
        <f>IF(F28="","",F28*(1+IFERROR(G28,0)))</f>
        <v/>
      </c>
      <c r="I28" s="34"/>
      <c r="J28" s="35" t="str">
        <f>IFERROR(H28*I28,"")</f>
        <v/>
      </c>
      <c r="K28" s="35" t="str">
        <f>IFERROR(J28*Продукт!B7,"")</f>
        <v/>
      </c>
      <c r="L28" s="32"/>
      <c r="M28" s="32"/>
      <c r="N28" s="32"/>
      <c r="O28" s="32"/>
    </row>
    <row r="29" spans="1:15" x14ac:dyDescent="0.3">
      <c r="A29" s="32">
        <v>21</v>
      </c>
      <c r="B29" s="32"/>
      <c r="C29" s="32"/>
      <c r="D29" s="32"/>
      <c r="E29" s="32"/>
      <c r="F29" s="30"/>
      <c r="G29" s="33"/>
      <c r="H29" s="32" t="str">
        <f>IF(F29="","",F29*(1+IFERROR(G29,0)))</f>
        <v/>
      </c>
      <c r="I29" s="34"/>
      <c r="J29" s="35" t="str">
        <f>IFERROR(H29*I29,"")</f>
        <v/>
      </c>
      <c r="K29" s="35" t="str">
        <f>IFERROR(J29*Продукт!B7,"")</f>
        <v/>
      </c>
      <c r="L29" s="32"/>
      <c r="M29" s="32"/>
      <c r="N29" s="32"/>
      <c r="O29" s="32"/>
    </row>
    <row r="30" spans="1:15" x14ac:dyDescent="0.3">
      <c r="A30" s="32">
        <v>22</v>
      </c>
      <c r="B30" s="32"/>
      <c r="C30" s="32"/>
      <c r="D30" s="32"/>
      <c r="E30" s="32"/>
      <c r="F30" s="30"/>
      <c r="G30" s="33"/>
      <c r="H30" s="32" t="str">
        <f>IF(F30="","",F30*(1+IFERROR(G30,0)))</f>
        <v/>
      </c>
      <c r="I30" s="34"/>
      <c r="J30" s="35" t="str">
        <f>IFERROR(H30*I30,"")</f>
        <v/>
      </c>
      <c r="K30" s="35" t="str">
        <f>IFERROR(J30*Продукт!B7,"")</f>
        <v/>
      </c>
      <c r="L30" s="32"/>
      <c r="M30" s="32"/>
      <c r="N30" s="32"/>
      <c r="O30" s="32"/>
    </row>
    <row r="31" spans="1:15" x14ac:dyDescent="0.3">
      <c r="A31" s="32">
        <v>23</v>
      </c>
      <c r="B31" s="32"/>
      <c r="C31" s="32"/>
      <c r="D31" s="32"/>
      <c r="E31" s="32"/>
      <c r="F31" s="30"/>
      <c r="G31" s="33"/>
      <c r="H31" s="32" t="str">
        <f>IF(F31="","",F31*(1+IFERROR(G31,0)))</f>
        <v/>
      </c>
      <c r="I31" s="34"/>
      <c r="J31" s="35" t="str">
        <f>IFERROR(H31*I31,"")</f>
        <v/>
      </c>
      <c r="K31" s="35" t="str">
        <f>IFERROR(J31*Продукт!B7,"")</f>
        <v/>
      </c>
      <c r="L31" s="32"/>
      <c r="M31" s="32"/>
      <c r="N31" s="32"/>
      <c r="O31" s="32"/>
    </row>
    <row r="32" spans="1:15" x14ac:dyDescent="0.3">
      <c r="A32" s="32">
        <v>24</v>
      </c>
      <c r="B32" s="32"/>
      <c r="C32" s="32"/>
      <c r="D32" s="32"/>
      <c r="E32" s="32"/>
      <c r="F32" s="30"/>
      <c r="G32" s="33"/>
      <c r="H32" s="32" t="str">
        <f>IF(F32="","",F32*(1+IFERROR(G32,0)))</f>
        <v/>
      </c>
      <c r="I32" s="34"/>
      <c r="J32" s="35" t="str">
        <f>IFERROR(H32*I32,"")</f>
        <v/>
      </c>
      <c r="K32" s="35" t="str">
        <f>IFERROR(J32*Продукт!B7,"")</f>
        <v/>
      </c>
      <c r="L32" s="32"/>
      <c r="M32" s="32"/>
      <c r="N32" s="32"/>
      <c r="O32" s="32"/>
    </row>
    <row r="34" spans="1:15" x14ac:dyDescent="0.3">
      <c r="A34" s="6" t="s">
        <v>127</v>
      </c>
      <c r="B34" s="6"/>
      <c r="C34" s="6"/>
      <c r="D34" s="6"/>
      <c r="E34" s="6"/>
      <c r="F34" s="6"/>
      <c r="G34" s="6"/>
      <c r="H34" s="6"/>
      <c r="I34" s="6"/>
      <c r="J34" s="36">
        <f>SUMIF(J5:J32,"&gt;0")</f>
        <v>0</v>
      </c>
      <c r="K34" s="36">
        <f>SUMIF(K5:K32,"&gt;0")</f>
        <v>0</v>
      </c>
      <c r="L34" s="18"/>
      <c r="M34" s="18"/>
      <c r="N34" s="18"/>
      <c r="O34" s="18"/>
    </row>
  </sheetData>
  <mergeCells count="7">
    <mergeCell ref="A27:O27"/>
    <mergeCell ref="A34:I34"/>
    <mergeCell ref="A1:O1"/>
    <mergeCell ref="A2:O2"/>
    <mergeCell ref="A5:O5"/>
    <mergeCell ref="A12:O12"/>
    <mergeCell ref="A20:O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O1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6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4" t="s">
        <v>160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3">
      <c r="A2" s="9" t="s">
        <v>94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4" spans="1:15" ht="45" customHeight="1" x14ac:dyDescent="0.3">
      <c r="A4" s="28" t="s">
        <v>95</v>
      </c>
      <c r="B4" s="28" t="s">
        <v>96</v>
      </c>
      <c r="C4" s="28" t="s">
        <v>97</v>
      </c>
      <c r="D4" s="28" t="s">
        <v>98</v>
      </c>
      <c r="E4" s="28" t="s">
        <v>99</v>
      </c>
      <c r="F4" s="28" t="s">
        <v>100</v>
      </c>
      <c r="G4" s="28" t="s">
        <v>101</v>
      </c>
      <c r="H4" s="28" t="s">
        <v>102</v>
      </c>
      <c r="I4" s="28" t="s">
        <v>103</v>
      </c>
      <c r="J4" s="28" t="s">
        <v>104</v>
      </c>
      <c r="K4" s="28" t="s">
        <v>105</v>
      </c>
      <c r="L4" s="28" t="s">
        <v>106</v>
      </c>
      <c r="M4" s="28" t="s">
        <v>107</v>
      </c>
      <c r="N4" s="28" t="s">
        <v>108</v>
      </c>
      <c r="O4" s="28" t="s">
        <v>109</v>
      </c>
    </row>
    <row r="5" spans="1:15" x14ac:dyDescent="0.3">
      <c r="A5" s="8" t="s">
        <v>161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3">
      <c r="A6" s="32">
        <v>1</v>
      </c>
      <c r="B6" s="32" t="s">
        <v>161</v>
      </c>
      <c r="C6" s="32" t="s">
        <v>162</v>
      </c>
      <c r="D6" s="32"/>
      <c r="E6" s="32" t="s">
        <v>163</v>
      </c>
      <c r="F6" s="30"/>
      <c r="G6" s="33"/>
      <c r="H6" s="32" t="str">
        <f t="shared" ref="H6:H11" si="0">IF(F6="","",F6*(1+IFERROR(G6,0)))</f>
        <v/>
      </c>
      <c r="I6" s="34"/>
      <c r="J6" s="35" t="str">
        <f t="shared" ref="J6:J11" si="1">IFERROR(H6*I6,"")</f>
        <v/>
      </c>
      <c r="K6" s="35" t="str">
        <f>IFERROR(J6*Продукт!B7,"")</f>
        <v/>
      </c>
      <c r="L6" s="32"/>
      <c r="M6" s="32"/>
      <c r="N6" s="32"/>
      <c r="O6" s="32"/>
    </row>
    <row r="7" spans="1:15" x14ac:dyDescent="0.3">
      <c r="A7" s="32">
        <v>2</v>
      </c>
      <c r="B7" s="32" t="s">
        <v>161</v>
      </c>
      <c r="C7" s="32"/>
      <c r="D7" s="32"/>
      <c r="E7" s="32"/>
      <c r="F7" s="30"/>
      <c r="G7" s="33"/>
      <c r="H7" s="32" t="str">
        <f t="shared" si="0"/>
        <v/>
      </c>
      <c r="I7" s="34"/>
      <c r="J7" s="35" t="str">
        <f t="shared" si="1"/>
        <v/>
      </c>
      <c r="K7" s="35" t="str">
        <f>IFERROR(J7*Продукт!B7,"")</f>
        <v/>
      </c>
      <c r="L7" s="32"/>
      <c r="M7" s="32"/>
      <c r="N7" s="32"/>
      <c r="O7" s="32"/>
    </row>
    <row r="8" spans="1:15" x14ac:dyDescent="0.3">
      <c r="A8" s="32">
        <v>3</v>
      </c>
      <c r="B8" s="32" t="s">
        <v>161</v>
      </c>
      <c r="C8" s="32"/>
      <c r="D8" s="32"/>
      <c r="E8" s="32"/>
      <c r="F8" s="30"/>
      <c r="G8" s="33"/>
      <c r="H8" s="32" t="str">
        <f t="shared" si="0"/>
        <v/>
      </c>
      <c r="I8" s="34"/>
      <c r="J8" s="35" t="str">
        <f t="shared" si="1"/>
        <v/>
      </c>
      <c r="K8" s="35" t="str">
        <f>IFERROR(J8*Продукт!B7,"")</f>
        <v/>
      </c>
      <c r="L8" s="32"/>
      <c r="M8" s="32"/>
      <c r="N8" s="32"/>
      <c r="O8" s="32"/>
    </row>
    <row r="9" spans="1:15" x14ac:dyDescent="0.3">
      <c r="A9" s="32">
        <v>4</v>
      </c>
      <c r="B9" s="32" t="s">
        <v>161</v>
      </c>
      <c r="C9" s="32"/>
      <c r="D9" s="32"/>
      <c r="E9" s="32"/>
      <c r="F9" s="30"/>
      <c r="G9" s="33"/>
      <c r="H9" s="32" t="str">
        <f t="shared" si="0"/>
        <v/>
      </c>
      <c r="I9" s="34"/>
      <c r="J9" s="35" t="str">
        <f t="shared" si="1"/>
        <v/>
      </c>
      <c r="K9" s="35" t="str">
        <f>IFERROR(J9*Продукт!B7,"")</f>
        <v/>
      </c>
      <c r="L9" s="32"/>
      <c r="M9" s="32"/>
      <c r="N9" s="32"/>
      <c r="O9" s="32"/>
    </row>
    <row r="10" spans="1:15" x14ac:dyDescent="0.3">
      <c r="A10" s="32">
        <v>5</v>
      </c>
      <c r="B10" s="32" t="s">
        <v>161</v>
      </c>
      <c r="C10" s="32"/>
      <c r="D10" s="32"/>
      <c r="E10" s="32"/>
      <c r="F10" s="30"/>
      <c r="G10" s="33"/>
      <c r="H10" s="32" t="str">
        <f t="shared" si="0"/>
        <v/>
      </c>
      <c r="I10" s="34"/>
      <c r="J10" s="35" t="str">
        <f t="shared" si="1"/>
        <v/>
      </c>
      <c r="K10" s="35" t="str">
        <f>IFERROR(J10*Продукт!B7,"")</f>
        <v/>
      </c>
      <c r="L10" s="32"/>
      <c r="M10" s="32"/>
      <c r="N10" s="32"/>
      <c r="O10" s="32"/>
    </row>
    <row r="11" spans="1:15" x14ac:dyDescent="0.3">
      <c r="A11" s="32">
        <v>6</v>
      </c>
      <c r="B11" s="32" t="s">
        <v>161</v>
      </c>
      <c r="C11" s="32"/>
      <c r="D11" s="32"/>
      <c r="E11" s="32"/>
      <c r="F11" s="30"/>
      <c r="G11" s="33"/>
      <c r="H11" s="32" t="str">
        <f t="shared" si="0"/>
        <v/>
      </c>
      <c r="I11" s="34"/>
      <c r="J11" s="35" t="str">
        <f t="shared" si="1"/>
        <v/>
      </c>
      <c r="K11" s="35" t="str">
        <f>IFERROR(J11*Продукт!B7,"")</f>
        <v/>
      </c>
      <c r="L11" s="32"/>
      <c r="M11" s="32"/>
      <c r="N11" s="32"/>
      <c r="O11" s="32"/>
    </row>
    <row r="12" spans="1:15" x14ac:dyDescent="0.3">
      <c r="A12" s="8" t="s">
        <v>164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3">
      <c r="A13" s="32">
        <v>7</v>
      </c>
      <c r="B13" s="32" t="s">
        <v>164</v>
      </c>
      <c r="C13" s="32" t="s">
        <v>165</v>
      </c>
      <c r="D13" s="32"/>
      <c r="E13" s="32" t="s">
        <v>118</v>
      </c>
      <c r="F13" s="30"/>
      <c r="G13" s="33"/>
      <c r="H13" s="32" t="str">
        <f t="shared" ref="H13:H19" si="2">IF(F13="","",F13*(1+IFERROR(G13,0)))</f>
        <v/>
      </c>
      <c r="I13" s="34"/>
      <c r="J13" s="35" t="str">
        <f t="shared" ref="J13:J19" si="3">IFERROR(H13*I13,"")</f>
        <v/>
      </c>
      <c r="K13" s="35" t="str">
        <f>IFERROR(J13*Продукт!B7,"")</f>
        <v/>
      </c>
      <c r="L13" s="32"/>
      <c r="M13" s="32"/>
      <c r="N13" s="32"/>
      <c r="O13" s="32"/>
    </row>
    <row r="14" spans="1:15" x14ac:dyDescent="0.3">
      <c r="A14" s="32">
        <v>8</v>
      </c>
      <c r="B14" s="32" t="s">
        <v>164</v>
      </c>
      <c r="C14" s="32" t="s">
        <v>166</v>
      </c>
      <c r="D14" s="32"/>
      <c r="E14" s="32" t="s">
        <v>167</v>
      </c>
      <c r="F14" s="30"/>
      <c r="G14" s="33"/>
      <c r="H14" s="32" t="str">
        <f t="shared" si="2"/>
        <v/>
      </c>
      <c r="I14" s="34"/>
      <c r="J14" s="35" t="str">
        <f t="shared" si="3"/>
        <v/>
      </c>
      <c r="K14" s="35" t="str">
        <f>IFERROR(J14*Продукт!B7,"")</f>
        <v/>
      </c>
      <c r="L14" s="32"/>
      <c r="M14" s="32"/>
      <c r="N14" s="32"/>
      <c r="O14" s="32"/>
    </row>
    <row r="15" spans="1:15" x14ac:dyDescent="0.3">
      <c r="A15" s="32">
        <v>9</v>
      </c>
      <c r="B15" s="32" t="s">
        <v>164</v>
      </c>
      <c r="C15" s="32"/>
      <c r="D15" s="32"/>
      <c r="E15" s="32"/>
      <c r="F15" s="30"/>
      <c r="G15" s="33"/>
      <c r="H15" s="32" t="str">
        <f t="shared" si="2"/>
        <v/>
      </c>
      <c r="I15" s="34"/>
      <c r="J15" s="35" t="str">
        <f t="shared" si="3"/>
        <v/>
      </c>
      <c r="K15" s="35" t="str">
        <f>IFERROR(J15*Продукт!B7,"")</f>
        <v/>
      </c>
      <c r="L15" s="32"/>
      <c r="M15" s="32"/>
      <c r="N15" s="32"/>
      <c r="O15" s="32"/>
    </row>
    <row r="16" spans="1:15" x14ac:dyDescent="0.3">
      <c r="A16" s="32">
        <v>10</v>
      </c>
      <c r="B16" s="32" t="s">
        <v>164</v>
      </c>
      <c r="C16" s="32"/>
      <c r="D16" s="32"/>
      <c r="E16" s="32"/>
      <c r="F16" s="30"/>
      <c r="G16" s="33"/>
      <c r="H16" s="32" t="str">
        <f t="shared" si="2"/>
        <v/>
      </c>
      <c r="I16" s="34"/>
      <c r="J16" s="35" t="str">
        <f t="shared" si="3"/>
        <v/>
      </c>
      <c r="K16" s="35" t="str">
        <f>IFERROR(J16*Продукт!B7,"")</f>
        <v/>
      </c>
      <c r="L16" s="32"/>
      <c r="M16" s="32"/>
      <c r="N16" s="32"/>
      <c r="O16" s="32"/>
    </row>
    <row r="17" spans="1:15" x14ac:dyDescent="0.3">
      <c r="A17" s="32">
        <v>11</v>
      </c>
      <c r="B17" s="32" t="s">
        <v>164</v>
      </c>
      <c r="C17" s="32"/>
      <c r="D17" s="32"/>
      <c r="E17" s="32"/>
      <c r="F17" s="30"/>
      <c r="G17" s="33"/>
      <c r="H17" s="32" t="str">
        <f t="shared" si="2"/>
        <v/>
      </c>
      <c r="I17" s="34"/>
      <c r="J17" s="35" t="str">
        <f t="shared" si="3"/>
        <v/>
      </c>
      <c r="K17" s="35" t="str">
        <f>IFERROR(J17*Продукт!B7,"")</f>
        <v/>
      </c>
      <c r="L17" s="32"/>
      <c r="M17" s="32"/>
      <c r="N17" s="32"/>
      <c r="O17" s="32"/>
    </row>
    <row r="18" spans="1:15" x14ac:dyDescent="0.3">
      <c r="A18" s="32">
        <v>12</v>
      </c>
      <c r="B18" s="32" t="s">
        <v>164</v>
      </c>
      <c r="C18" s="32"/>
      <c r="D18" s="32"/>
      <c r="E18" s="32"/>
      <c r="F18" s="30"/>
      <c r="G18" s="33"/>
      <c r="H18" s="32" t="str">
        <f t="shared" si="2"/>
        <v/>
      </c>
      <c r="I18" s="34"/>
      <c r="J18" s="35" t="str">
        <f t="shared" si="3"/>
        <v/>
      </c>
      <c r="K18" s="35" t="str">
        <f>IFERROR(J18*Продукт!B7,"")</f>
        <v/>
      </c>
      <c r="L18" s="32"/>
      <c r="M18" s="32"/>
      <c r="N18" s="32"/>
      <c r="O18" s="32"/>
    </row>
    <row r="19" spans="1:15" x14ac:dyDescent="0.3">
      <c r="A19" s="32">
        <v>13</v>
      </c>
      <c r="B19" s="32" t="s">
        <v>164</v>
      </c>
      <c r="C19" s="32"/>
      <c r="D19" s="32"/>
      <c r="E19" s="32"/>
      <c r="F19" s="30"/>
      <c r="G19" s="33"/>
      <c r="H19" s="32" t="str">
        <f t="shared" si="2"/>
        <v/>
      </c>
      <c r="I19" s="34"/>
      <c r="J19" s="35" t="str">
        <f t="shared" si="3"/>
        <v/>
      </c>
      <c r="K19" s="35" t="str">
        <f>IFERROR(J19*Продукт!B7,"")</f>
        <v/>
      </c>
      <c r="L19" s="32"/>
      <c r="M19" s="32"/>
      <c r="N19" s="32"/>
      <c r="O19" s="32"/>
    </row>
    <row r="20" spans="1:15" x14ac:dyDescent="0.3">
      <c r="A20" s="8" t="s">
        <v>168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3">
      <c r="A21" s="32">
        <v>14</v>
      </c>
      <c r="B21" s="32" t="s">
        <v>168</v>
      </c>
      <c r="C21" s="32" t="s">
        <v>169</v>
      </c>
      <c r="D21" s="32"/>
      <c r="E21" s="32" t="s">
        <v>118</v>
      </c>
      <c r="F21" s="30"/>
      <c r="G21" s="33"/>
      <c r="H21" s="32" t="str">
        <f t="shared" ref="H21:H27" si="4">IF(F21="","",F21*(1+IFERROR(G21,0)))</f>
        <v/>
      </c>
      <c r="I21" s="34"/>
      <c r="J21" s="35" t="str">
        <f t="shared" ref="J21:J27" si="5">IFERROR(H21*I21,"")</f>
        <v/>
      </c>
      <c r="K21" s="35" t="str">
        <f>IFERROR(J21*Продукт!B7,"")</f>
        <v/>
      </c>
      <c r="L21" s="32"/>
      <c r="M21" s="32"/>
      <c r="N21" s="32"/>
      <c r="O21" s="32"/>
    </row>
    <row r="22" spans="1:15" x14ac:dyDescent="0.3">
      <c r="A22" s="32">
        <v>15</v>
      </c>
      <c r="B22" s="32" t="s">
        <v>168</v>
      </c>
      <c r="C22" s="32" t="s">
        <v>170</v>
      </c>
      <c r="D22" s="32"/>
      <c r="E22" s="32" t="s">
        <v>118</v>
      </c>
      <c r="F22" s="30"/>
      <c r="G22" s="33"/>
      <c r="H22" s="32" t="str">
        <f t="shared" si="4"/>
        <v/>
      </c>
      <c r="I22" s="34"/>
      <c r="J22" s="35" t="str">
        <f t="shared" si="5"/>
        <v/>
      </c>
      <c r="K22" s="35" t="str">
        <f>IFERROR(J22*Продукт!B7,"")</f>
        <v/>
      </c>
      <c r="L22" s="32"/>
      <c r="M22" s="32"/>
      <c r="N22" s="32"/>
      <c r="O22" s="32"/>
    </row>
    <row r="23" spans="1:15" x14ac:dyDescent="0.3">
      <c r="A23" s="32">
        <v>16</v>
      </c>
      <c r="B23" s="32" t="s">
        <v>168</v>
      </c>
      <c r="C23" s="32"/>
      <c r="D23" s="32"/>
      <c r="E23" s="32"/>
      <c r="F23" s="30"/>
      <c r="G23" s="33"/>
      <c r="H23" s="32" t="str">
        <f t="shared" si="4"/>
        <v/>
      </c>
      <c r="I23" s="34"/>
      <c r="J23" s="35" t="str">
        <f t="shared" si="5"/>
        <v/>
      </c>
      <c r="K23" s="35" t="str">
        <f>IFERROR(J23*Продукт!B7,"")</f>
        <v/>
      </c>
      <c r="L23" s="32"/>
      <c r="M23" s="32"/>
      <c r="N23" s="32"/>
      <c r="O23" s="32"/>
    </row>
    <row r="24" spans="1:15" x14ac:dyDescent="0.3">
      <c r="A24" s="32">
        <v>17</v>
      </c>
      <c r="B24" s="32" t="s">
        <v>168</v>
      </c>
      <c r="C24" s="32"/>
      <c r="D24" s="32"/>
      <c r="E24" s="32"/>
      <c r="F24" s="30"/>
      <c r="G24" s="33"/>
      <c r="H24" s="32" t="str">
        <f t="shared" si="4"/>
        <v/>
      </c>
      <c r="I24" s="34"/>
      <c r="J24" s="35" t="str">
        <f t="shared" si="5"/>
        <v/>
      </c>
      <c r="K24" s="35" t="str">
        <f>IFERROR(J24*Продукт!B7,"")</f>
        <v/>
      </c>
      <c r="L24" s="32"/>
      <c r="M24" s="32"/>
      <c r="N24" s="32"/>
      <c r="O24" s="32"/>
    </row>
    <row r="25" spans="1:15" x14ac:dyDescent="0.3">
      <c r="A25" s="32">
        <v>18</v>
      </c>
      <c r="B25" s="32" t="s">
        <v>168</v>
      </c>
      <c r="C25" s="32"/>
      <c r="D25" s="32"/>
      <c r="E25" s="32"/>
      <c r="F25" s="30"/>
      <c r="G25" s="33"/>
      <c r="H25" s="32" t="str">
        <f t="shared" si="4"/>
        <v/>
      </c>
      <c r="I25" s="34"/>
      <c r="J25" s="35" t="str">
        <f t="shared" si="5"/>
        <v/>
      </c>
      <c r="K25" s="35" t="str">
        <f>IFERROR(J25*Продукт!B7,"")</f>
        <v/>
      </c>
      <c r="L25" s="32"/>
      <c r="M25" s="32"/>
      <c r="N25" s="32"/>
      <c r="O25" s="32"/>
    </row>
    <row r="26" spans="1:15" x14ac:dyDescent="0.3">
      <c r="A26" s="32">
        <v>19</v>
      </c>
      <c r="B26" s="32" t="s">
        <v>168</v>
      </c>
      <c r="C26" s="32"/>
      <c r="D26" s="32"/>
      <c r="E26" s="32"/>
      <c r="F26" s="30"/>
      <c r="G26" s="33"/>
      <c r="H26" s="32" t="str">
        <f t="shared" si="4"/>
        <v/>
      </c>
      <c r="I26" s="34"/>
      <c r="J26" s="35" t="str">
        <f t="shared" si="5"/>
        <v/>
      </c>
      <c r="K26" s="35" t="str">
        <f>IFERROR(J26*Продукт!B7,"")</f>
        <v/>
      </c>
      <c r="L26" s="32"/>
      <c r="M26" s="32"/>
      <c r="N26" s="32"/>
      <c r="O26" s="32"/>
    </row>
    <row r="27" spans="1:15" x14ac:dyDescent="0.3">
      <c r="A27" s="32">
        <v>20</v>
      </c>
      <c r="B27" s="32" t="s">
        <v>168</v>
      </c>
      <c r="C27" s="32"/>
      <c r="D27" s="32"/>
      <c r="E27" s="32"/>
      <c r="F27" s="30"/>
      <c r="G27" s="33"/>
      <c r="H27" s="32" t="str">
        <f t="shared" si="4"/>
        <v/>
      </c>
      <c r="I27" s="34"/>
      <c r="J27" s="35" t="str">
        <f t="shared" si="5"/>
        <v/>
      </c>
      <c r="K27" s="35" t="str">
        <f>IFERROR(J27*Продукт!B7,"")</f>
        <v/>
      </c>
      <c r="L27" s="32"/>
      <c r="M27" s="32"/>
      <c r="N27" s="32"/>
      <c r="O27" s="32"/>
    </row>
    <row r="28" spans="1:15" x14ac:dyDescent="0.3">
      <c r="A28" s="8" t="s">
        <v>171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3">
      <c r="A29" s="32">
        <v>21</v>
      </c>
      <c r="B29" s="32" t="s">
        <v>171</v>
      </c>
      <c r="C29" s="32" t="s">
        <v>172</v>
      </c>
      <c r="D29" s="32"/>
      <c r="E29" s="32" t="s">
        <v>118</v>
      </c>
      <c r="F29" s="30"/>
      <c r="G29" s="33"/>
      <c r="H29" s="32" t="str">
        <f t="shared" ref="H29:H35" si="6">IF(F29="","",F29*(1+IFERROR(G29,0)))</f>
        <v/>
      </c>
      <c r="I29" s="34"/>
      <c r="J29" s="35" t="str">
        <f t="shared" ref="J29:J35" si="7">IFERROR(H29*I29,"")</f>
        <v/>
      </c>
      <c r="K29" s="35" t="str">
        <f>IFERROR(J29*Продукт!B7,"")</f>
        <v/>
      </c>
      <c r="L29" s="32"/>
      <c r="M29" s="32"/>
      <c r="N29" s="32"/>
      <c r="O29" s="32"/>
    </row>
    <row r="30" spans="1:15" x14ac:dyDescent="0.3">
      <c r="A30" s="32">
        <v>22</v>
      </c>
      <c r="B30" s="32" t="s">
        <v>171</v>
      </c>
      <c r="C30" s="32" t="s">
        <v>173</v>
      </c>
      <c r="D30" s="32"/>
      <c r="E30" s="32" t="s">
        <v>118</v>
      </c>
      <c r="F30" s="30"/>
      <c r="G30" s="33"/>
      <c r="H30" s="32" t="str">
        <f t="shared" si="6"/>
        <v/>
      </c>
      <c r="I30" s="34"/>
      <c r="J30" s="35" t="str">
        <f t="shared" si="7"/>
        <v/>
      </c>
      <c r="K30" s="35" t="str">
        <f>IFERROR(J30*Продукт!B7,"")</f>
        <v/>
      </c>
      <c r="L30" s="32"/>
      <c r="M30" s="32"/>
      <c r="N30" s="32"/>
      <c r="O30" s="32"/>
    </row>
    <row r="31" spans="1:15" x14ac:dyDescent="0.3">
      <c r="A31" s="32">
        <v>23</v>
      </c>
      <c r="B31" s="32" t="s">
        <v>171</v>
      </c>
      <c r="C31" s="32"/>
      <c r="D31" s="32"/>
      <c r="E31" s="32"/>
      <c r="F31" s="30"/>
      <c r="G31" s="33"/>
      <c r="H31" s="32" t="str">
        <f t="shared" si="6"/>
        <v/>
      </c>
      <c r="I31" s="34"/>
      <c r="J31" s="35" t="str">
        <f t="shared" si="7"/>
        <v/>
      </c>
      <c r="K31" s="35" t="str">
        <f>IFERROR(J31*Продукт!B7,"")</f>
        <v/>
      </c>
      <c r="L31" s="32"/>
      <c r="M31" s="32"/>
      <c r="N31" s="32"/>
      <c r="O31" s="32"/>
    </row>
    <row r="32" spans="1:15" x14ac:dyDescent="0.3">
      <c r="A32" s="32">
        <v>24</v>
      </c>
      <c r="B32" s="32" t="s">
        <v>171</v>
      </c>
      <c r="C32" s="32"/>
      <c r="D32" s="32"/>
      <c r="E32" s="32"/>
      <c r="F32" s="30"/>
      <c r="G32" s="33"/>
      <c r="H32" s="32" t="str">
        <f t="shared" si="6"/>
        <v/>
      </c>
      <c r="I32" s="34"/>
      <c r="J32" s="35" t="str">
        <f t="shared" si="7"/>
        <v/>
      </c>
      <c r="K32" s="35" t="str">
        <f>IFERROR(J32*Продукт!B7,"")</f>
        <v/>
      </c>
      <c r="L32" s="32"/>
      <c r="M32" s="32"/>
      <c r="N32" s="32"/>
      <c r="O32" s="32"/>
    </row>
    <row r="33" spans="1:15" x14ac:dyDescent="0.3">
      <c r="A33" s="32">
        <v>25</v>
      </c>
      <c r="B33" s="32" t="s">
        <v>171</v>
      </c>
      <c r="C33" s="32"/>
      <c r="D33" s="32"/>
      <c r="E33" s="32"/>
      <c r="F33" s="30"/>
      <c r="G33" s="33"/>
      <c r="H33" s="32" t="str">
        <f t="shared" si="6"/>
        <v/>
      </c>
      <c r="I33" s="34"/>
      <c r="J33" s="35" t="str">
        <f t="shared" si="7"/>
        <v/>
      </c>
      <c r="K33" s="35" t="str">
        <f>IFERROR(J33*Продукт!B7,"")</f>
        <v/>
      </c>
      <c r="L33" s="32"/>
      <c r="M33" s="32"/>
      <c r="N33" s="32"/>
      <c r="O33" s="32"/>
    </row>
    <row r="34" spans="1:15" x14ac:dyDescent="0.3">
      <c r="A34" s="32">
        <v>26</v>
      </c>
      <c r="B34" s="32" t="s">
        <v>171</v>
      </c>
      <c r="C34" s="32"/>
      <c r="D34" s="32"/>
      <c r="E34" s="32"/>
      <c r="F34" s="30"/>
      <c r="G34" s="33"/>
      <c r="H34" s="32" t="str">
        <f t="shared" si="6"/>
        <v/>
      </c>
      <c r="I34" s="34"/>
      <c r="J34" s="35" t="str">
        <f t="shared" si="7"/>
        <v/>
      </c>
      <c r="K34" s="35" t="str">
        <f>IFERROR(J34*Продукт!B7,"")</f>
        <v/>
      </c>
      <c r="L34" s="32"/>
      <c r="M34" s="32"/>
      <c r="N34" s="32"/>
      <c r="O34" s="32"/>
    </row>
    <row r="35" spans="1:15" x14ac:dyDescent="0.3">
      <c r="A35" s="32">
        <v>27</v>
      </c>
      <c r="B35" s="32" t="s">
        <v>171</v>
      </c>
      <c r="C35" s="32"/>
      <c r="D35" s="32"/>
      <c r="E35" s="32"/>
      <c r="F35" s="30"/>
      <c r="G35" s="33"/>
      <c r="H35" s="32" t="str">
        <f t="shared" si="6"/>
        <v/>
      </c>
      <c r="I35" s="34"/>
      <c r="J35" s="35" t="str">
        <f t="shared" si="7"/>
        <v/>
      </c>
      <c r="K35" s="35" t="str">
        <f>IFERROR(J35*Продукт!B7,"")</f>
        <v/>
      </c>
      <c r="L35" s="32"/>
      <c r="M35" s="32"/>
      <c r="N35" s="32"/>
      <c r="O35" s="32"/>
    </row>
    <row r="36" spans="1:15" x14ac:dyDescent="0.3">
      <c r="A36" s="7" t="s">
        <v>126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x14ac:dyDescent="0.3">
      <c r="A37" s="32">
        <v>28</v>
      </c>
      <c r="B37" s="32"/>
      <c r="C37" s="32"/>
      <c r="D37" s="32"/>
      <c r="E37" s="32"/>
      <c r="F37" s="30"/>
      <c r="G37" s="33"/>
      <c r="H37" s="32" t="str">
        <f>IF(F37="","",F37*(1+IFERROR(G37,0)))</f>
        <v/>
      </c>
      <c r="I37" s="34"/>
      <c r="J37" s="35" t="str">
        <f>IFERROR(H37*I37,"")</f>
        <v/>
      </c>
      <c r="K37" s="35" t="str">
        <f>IFERROR(J37*Продукт!B7,"")</f>
        <v/>
      </c>
      <c r="L37" s="32"/>
      <c r="M37" s="32"/>
      <c r="N37" s="32"/>
      <c r="O37" s="32"/>
    </row>
    <row r="38" spans="1:15" x14ac:dyDescent="0.3">
      <c r="A38" s="32">
        <v>29</v>
      </c>
      <c r="B38" s="32"/>
      <c r="C38" s="32"/>
      <c r="D38" s="32"/>
      <c r="E38" s="32"/>
      <c r="F38" s="30"/>
      <c r="G38" s="33"/>
      <c r="H38" s="32" t="str">
        <f>IF(F38="","",F38*(1+IFERROR(G38,0)))</f>
        <v/>
      </c>
      <c r="I38" s="34"/>
      <c r="J38" s="35" t="str">
        <f>IFERROR(H38*I38,"")</f>
        <v/>
      </c>
      <c r="K38" s="35" t="str">
        <f>IFERROR(J38*Продукт!B7,"")</f>
        <v/>
      </c>
      <c r="L38" s="32"/>
      <c r="M38" s="32"/>
      <c r="N38" s="32"/>
      <c r="O38" s="32"/>
    </row>
    <row r="39" spans="1:15" x14ac:dyDescent="0.3">
      <c r="A39" s="32">
        <v>30</v>
      </c>
      <c r="B39" s="32"/>
      <c r="C39" s="32"/>
      <c r="D39" s="32"/>
      <c r="E39" s="32"/>
      <c r="F39" s="30"/>
      <c r="G39" s="33"/>
      <c r="H39" s="32" t="str">
        <f>IF(F39="","",F39*(1+IFERROR(G39,0)))</f>
        <v/>
      </c>
      <c r="I39" s="34"/>
      <c r="J39" s="35" t="str">
        <f>IFERROR(H39*I39,"")</f>
        <v/>
      </c>
      <c r="K39" s="35" t="str">
        <f>IFERROR(J39*Продукт!B7,"")</f>
        <v/>
      </c>
      <c r="L39" s="32"/>
      <c r="M39" s="32"/>
      <c r="N39" s="32"/>
      <c r="O39" s="32"/>
    </row>
    <row r="40" spans="1:15" x14ac:dyDescent="0.3">
      <c r="A40" s="32">
        <v>31</v>
      </c>
      <c r="B40" s="32"/>
      <c r="C40" s="32"/>
      <c r="D40" s="32"/>
      <c r="E40" s="32"/>
      <c r="F40" s="30"/>
      <c r="G40" s="33"/>
      <c r="H40" s="32" t="str">
        <f>IF(F40="","",F40*(1+IFERROR(G40,0)))</f>
        <v/>
      </c>
      <c r="I40" s="34"/>
      <c r="J40" s="35" t="str">
        <f>IFERROR(H40*I40,"")</f>
        <v/>
      </c>
      <c r="K40" s="35" t="str">
        <f>IFERROR(J40*Продукт!B7,"")</f>
        <v/>
      </c>
      <c r="L40" s="32"/>
      <c r="M40" s="32"/>
      <c r="N40" s="32"/>
      <c r="O40" s="32"/>
    </row>
    <row r="41" spans="1:15" x14ac:dyDescent="0.3">
      <c r="A41" s="32">
        <v>32</v>
      </c>
      <c r="B41" s="32"/>
      <c r="C41" s="32"/>
      <c r="D41" s="32"/>
      <c r="E41" s="32"/>
      <c r="F41" s="30"/>
      <c r="G41" s="33"/>
      <c r="H41" s="32" t="str">
        <f>IF(F41="","",F41*(1+IFERROR(G41,0)))</f>
        <v/>
      </c>
      <c r="I41" s="34"/>
      <c r="J41" s="35" t="str">
        <f>IFERROR(H41*I41,"")</f>
        <v/>
      </c>
      <c r="K41" s="35" t="str">
        <f>IFERROR(J41*Продукт!B7,"")</f>
        <v/>
      </c>
      <c r="L41" s="32"/>
      <c r="M41" s="32"/>
      <c r="N41" s="32"/>
      <c r="O41" s="32"/>
    </row>
    <row r="43" spans="1:15" x14ac:dyDescent="0.3">
      <c r="A43" s="6" t="s">
        <v>127</v>
      </c>
      <c r="B43" s="6"/>
      <c r="C43" s="6"/>
      <c r="D43" s="6"/>
      <c r="E43" s="6"/>
      <c r="F43" s="6"/>
      <c r="G43" s="6"/>
      <c r="H43" s="6"/>
      <c r="I43" s="6"/>
      <c r="J43" s="36">
        <f>SUMIF(J5:J41,"&gt;0")</f>
        <v>0</v>
      </c>
      <c r="K43" s="36">
        <f>SUMIF(K5:K41,"&gt;0")</f>
        <v>0</v>
      </c>
      <c r="L43" s="18"/>
      <c r="M43" s="18"/>
      <c r="N43" s="18"/>
      <c r="O43" s="18"/>
    </row>
  </sheetData>
  <mergeCells count="8">
    <mergeCell ref="A28:O28"/>
    <mergeCell ref="A36:O36"/>
    <mergeCell ref="A43:I43"/>
    <mergeCell ref="A1:O1"/>
    <mergeCell ref="A2:O2"/>
    <mergeCell ref="A5:O5"/>
    <mergeCell ref="A12:O12"/>
    <mergeCell ref="A20:O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7"/>
  <sheetViews>
    <sheetView zoomScaleNormal="100" workbookViewId="0">
      <pane xSplit="2" ySplit="4" topLeftCell="C11" activePane="bottomRight" state="frozen"/>
      <selection pane="topRight" activeCell="C1" sqref="C1"/>
      <selection pane="bottomLeft" activeCell="A5" sqref="A5"/>
      <selection pane="bottomRight" sqref="A1:O1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6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4" t="s">
        <v>174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3">
      <c r="A2" s="9" t="s">
        <v>94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4" spans="1:15" ht="45" customHeight="1" x14ac:dyDescent="0.3">
      <c r="A4" s="28" t="s">
        <v>95</v>
      </c>
      <c r="B4" s="28" t="s">
        <v>96</v>
      </c>
      <c r="C4" s="28" t="s">
        <v>97</v>
      </c>
      <c r="D4" s="28" t="s">
        <v>98</v>
      </c>
      <c r="E4" s="28" t="s">
        <v>99</v>
      </c>
      <c r="F4" s="28" t="s">
        <v>100</v>
      </c>
      <c r="G4" s="28" t="s">
        <v>101</v>
      </c>
      <c r="H4" s="28" t="s">
        <v>102</v>
      </c>
      <c r="I4" s="28" t="s">
        <v>103</v>
      </c>
      <c r="J4" s="28" t="s">
        <v>104</v>
      </c>
      <c r="K4" s="28" t="s">
        <v>105</v>
      </c>
      <c r="L4" s="28" t="s">
        <v>106</v>
      </c>
      <c r="M4" s="28" t="s">
        <v>107</v>
      </c>
      <c r="N4" s="28" t="s">
        <v>108</v>
      </c>
      <c r="O4" s="28" t="s">
        <v>109</v>
      </c>
    </row>
    <row r="5" spans="1:15" x14ac:dyDescent="0.3">
      <c r="A5" s="8" t="s">
        <v>175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26.4" x14ac:dyDescent="0.3">
      <c r="A6" s="32">
        <v>1</v>
      </c>
      <c r="B6" s="32" t="s">
        <v>175</v>
      </c>
      <c r="C6" s="32" t="s">
        <v>176</v>
      </c>
      <c r="D6" s="32"/>
      <c r="E6" s="32" t="s">
        <v>112</v>
      </c>
      <c r="F6" s="30"/>
      <c r="G6" s="33"/>
      <c r="H6" s="32" t="str">
        <f t="shared" ref="H6:H13" si="0">IF(F6="","",F6*(1+IFERROR(G6,0)))</f>
        <v/>
      </c>
      <c r="I6" s="34"/>
      <c r="J6" s="35" t="str">
        <f t="shared" ref="J6:J13" si="1">IFERROR(H6*I6,"")</f>
        <v/>
      </c>
      <c r="K6" s="35" t="str">
        <f>IFERROR(J6*Продукт!B7,"")</f>
        <v/>
      </c>
      <c r="L6" s="32"/>
      <c r="M6" s="32"/>
      <c r="N6" s="32"/>
      <c r="O6" s="32"/>
    </row>
    <row r="7" spans="1:15" ht="26.4" x14ac:dyDescent="0.3">
      <c r="A7" s="32">
        <v>2</v>
      </c>
      <c r="B7" s="32" t="s">
        <v>175</v>
      </c>
      <c r="C7" s="32" t="s">
        <v>177</v>
      </c>
      <c r="D7" s="32"/>
      <c r="E7" s="32" t="s">
        <v>112</v>
      </c>
      <c r="F7" s="30"/>
      <c r="G7" s="33"/>
      <c r="H7" s="32" t="str">
        <f t="shared" si="0"/>
        <v/>
      </c>
      <c r="I7" s="34"/>
      <c r="J7" s="35" t="str">
        <f t="shared" si="1"/>
        <v/>
      </c>
      <c r="K7" s="35" t="str">
        <f>IFERROR(J7*Продукт!B7,"")</f>
        <v/>
      </c>
      <c r="L7" s="32"/>
      <c r="M7" s="32"/>
      <c r="N7" s="32"/>
      <c r="O7" s="32"/>
    </row>
    <row r="8" spans="1:15" ht="26.4" x14ac:dyDescent="0.3">
      <c r="A8" s="32">
        <v>3</v>
      </c>
      <c r="B8" s="32" t="s">
        <v>175</v>
      </c>
      <c r="C8" s="32" t="s">
        <v>178</v>
      </c>
      <c r="D8" s="32"/>
      <c r="E8" s="32" t="s">
        <v>75</v>
      </c>
      <c r="F8" s="30"/>
      <c r="G8" s="33"/>
      <c r="H8" s="32" t="str">
        <f t="shared" si="0"/>
        <v/>
      </c>
      <c r="I8" s="34"/>
      <c r="J8" s="35" t="str">
        <f t="shared" si="1"/>
        <v/>
      </c>
      <c r="K8" s="35" t="str">
        <f>IFERROR(J8*Продукт!B7,"")</f>
        <v/>
      </c>
      <c r="L8" s="32"/>
      <c r="M8" s="32"/>
      <c r="N8" s="32"/>
      <c r="O8" s="32"/>
    </row>
    <row r="9" spans="1:15" ht="26.4" x14ac:dyDescent="0.3">
      <c r="A9" s="32">
        <v>4</v>
      </c>
      <c r="B9" s="32" t="s">
        <v>175</v>
      </c>
      <c r="C9" s="32"/>
      <c r="D9" s="32"/>
      <c r="E9" s="32"/>
      <c r="F9" s="30"/>
      <c r="G9" s="33"/>
      <c r="H9" s="32" t="str">
        <f t="shared" si="0"/>
        <v/>
      </c>
      <c r="I9" s="34"/>
      <c r="J9" s="35" t="str">
        <f t="shared" si="1"/>
        <v/>
      </c>
      <c r="K9" s="35" t="str">
        <f>IFERROR(J9*Продукт!B7,"")</f>
        <v/>
      </c>
      <c r="L9" s="32"/>
      <c r="M9" s="32"/>
      <c r="N9" s="32"/>
      <c r="O9" s="32"/>
    </row>
    <row r="10" spans="1:15" ht="26.4" x14ac:dyDescent="0.3">
      <c r="A10" s="32">
        <v>5</v>
      </c>
      <c r="B10" s="32" t="s">
        <v>175</v>
      </c>
      <c r="C10" s="32"/>
      <c r="D10" s="32"/>
      <c r="E10" s="32"/>
      <c r="F10" s="30"/>
      <c r="G10" s="33"/>
      <c r="H10" s="32" t="str">
        <f t="shared" si="0"/>
        <v/>
      </c>
      <c r="I10" s="34"/>
      <c r="J10" s="35" t="str">
        <f t="shared" si="1"/>
        <v/>
      </c>
      <c r="K10" s="35" t="str">
        <f>IFERROR(J10*Продукт!B7,"")</f>
        <v/>
      </c>
      <c r="L10" s="32"/>
      <c r="M10" s="32"/>
      <c r="N10" s="32"/>
      <c r="O10" s="32"/>
    </row>
    <row r="11" spans="1:15" ht="26.4" x14ac:dyDescent="0.3">
      <c r="A11" s="32">
        <v>6</v>
      </c>
      <c r="B11" s="32" t="s">
        <v>175</v>
      </c>
      <c r="C11" s="32"/>
      <c r="D11" s="32"/>
      <c r="E11" s="32"/>
      <c r="F11" s="30"/>
      <c r="G11" s="33"/>
      <c r="H11" s="32" t="str">
        <f t="shared" si="0"/>
        <v/>
      </c>
      <c r="I11" s="34"/>
      <c r="J11" s="35" t="str">
        <f t="shared" si="1"/>
        <v/>
      </c>
      <c r="K11" s="35" t="str">
        <f>IFERROR(J11*Продукт!B7,"")</f>
        <v/>
      </c>
      <c r="L11" s="32"/>
      <c r="M11" s="32"/>
      <c r="N11" s="32"/>
      <c r="O11" s="32"/>
    </row>
    <row r="12" spans="1:15" ht="26.4" x14ac:dyDescent="0.3">
      <c r="A12" s="32">
        <v>7</v>
      </c>
      <c r="B12" s="32" t="s">
        <v>175</v>
      </c>
      <c r="C12" s="32"/>
      <c r="D12" s="32"/>
      <c r="E12" s="32"/>
      <c r="F12" s="30"/>
      <c r="G12" s="33"/>
      <c r="H12" s="32" t="str">
        <f t="shared" si="0"/>
        <v/>
      </c>
      <c r="I12" s="34"/>
      <c r="J12" s="35" t="str">
        <f t="shared" si="1"/>
        <v/>
      </c>
      <c r="K12" s="35" t="str">
        <f>IFERROR(J12*Продукт!B7,"")</f>
        <v/>
      </c>
      <c r="L12" s="32"/>
      <c r="M12" s="32"/>
      <c r="N12" s="32"/>
      <c r="O12" s="32"/>
    </row>
    <row r="13" spans="1:15" ht="26.4" x14ac:dyDescent="0.3">
      <c r="A13" s="32">
        <v>8</v>
      </c>
      <c r="B13" s="32" t="s">
        <v>175</v>
      </c>
      <c r="C13" s="32"/>
      <c r="D13" s="32"/>
      <c r="E13" s="32"/>
      <c r="F13" s="30"/>
      <c r="G13" s="33"/>
      <c r="H13" s="32" t="str">
        <f t="shared" si="0"/>
        <v/>
      </c>
      <c r="I13" s="34"/>
      <c r="J13" s="35" t="str">
        <f t="shared" si="1"/>
        <v/>
      </c>
      <c r="K13" s="35" t="str">
        <f>IFERROR(J13*Продукт!B7,"")</f>
        <v/>
      </c>
      <c r="L13" s="32"/>
      <c r="M13" s="32"/>
      <c r="N13" s="32"/>
      <c r="O13" s="32"/>
    </row>
    <row r="14" spans="1:15" x14ac:dyDescent="0.3">
      <c r="A14" s="8" t="s">
        <v>179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3">
      <c r="A15" s="32">
        <v>9</v>
      </c>
      <c r="B15" s="32" t="s">
        <v>179</v>
      </c>
      <c r="C15" s="32" t="s">
        <v>180</v>
      </c>
      <c r="D15" s="32"/>
      <c r="E15" s="32" t="s">
        <v>181</v>
      </c>
      <c r="F15" s="30"/>
      <c r="G15" s="33"/>
      <c r="H15" s="32" t="str">
        <f t="shared" ref="H15:H21" si="2">IF(F15="","",F15*(1+IFERROR(G15,0)))</f>
        <v/>
      </c>
      <c r="I15" s="34"/>
      <c r="J15" s="35" t="str">
        <f t="shared" ref="J15:J21" si="3">IFERROR(H15*I15,"")</f>
        <v/>
      </c>
      <c r="K15" s="35" t="str">
        <f>IFERROR(J15*Продукт!B7,"")</f>
        <v/>
      </c>
      <c r="L15" s="32"/>
      <c r="M15" s="32"/>
      <c r="N15" s="32"/>
      <c r="O15" s="32"/>
    </row>
    <row r="16" spans="1:15" x14ac:dyDescent="0.3">
      <c r="A16" s="32">
        <v>10</v>
      </c>
      <c r="B16" s="32" t="s">
        <v>179</v>
      </c>
      <c r="C16" s="32" t="s">
        <v>182</v>
      </c>
      <c r="D16" s="32"/>
      <c r="E16" s="32" t="s">
        <v>112</v>
      </c>
      <c r="F16" s="30"/>
      <c r="G16" s="33"/>
      <c r="H16" s="32" t="str">
        <f t="shared" si="2"/>
        <v/>
      </c>
      <c r="I16" s="34"/>
      <c r="J16" s="35" t="str">
        <f t="shared" si="3"/>
        <v/>
      </c>
      <c r="K16" s="35" t="str">
        <f>IFERROR(J16*Продукт!B7,"")</f>
        <v/>
      </c>
      <c r="L16" s="32"/>
      <c r="M16" s="32"/>
      <c r="N16" s="32"/>
      <c r="O16" s="32"/>
    </row>
    <row r="17" spans="1:15" x14ac:dyDescent="0.3">
      <c r="A17" s="32">
        <v>11</v>
      </c>
      <c r="B17" s="32" t="s">
        <v>179</v>
      </c>
      <c r="C17" s="32"/>
      <c r="D17" s="32"/>
      <c r="E17" s="32"/>
      <c r="F17" s="30"/>
      <c r="G17" s="33"/>
      <c r="H17" s="32" t="str">
        <f t="shared" si="2"/>
        <v/>
      </c>
      <c r="I17" s="34"/>
      <c r="J17" s="35" t="str">
        <f t="shared" si="3"/>
        <v/>
      </c>
      <c r="K17" s="35" t="str">
        <f>IFERROR(J17*Продукт!B7,"")</f>
        <v/>
      </c>
      <c r="L17" s="32"/>
      <c r="M17" s="32"/>
      <c r="N17" s="32"/>
      <c r="O17" s="32"/>
    </row>
    <row r="18" spans="1:15" x14ac:dyDescent="0.3">
      <c r="A18" s="32">
        <v>12</v>
      </c>
      <c r="B18" s="32" t="s">
        <v>179</v>
      </c>
      <c r="C18" s="32"/>
      <c r="D18" s="32"/>
      <c r="E18" s="32"/>
      <c r="F18" s="30"/>
      <c r="G18" s="33"/>
      <c r="H18" s="32" t="str">
        <f t="shared" si="2"/>
        <v/>
      </c>
      <c r="I18" s="34"/>
      <c r="J18" s="35" t="str">
        <f t="shared" si="3"/>
        <v/>
      </c>
      <c r="K18" s="35" t="str">
        <f>IFERROR(J18*Продукт!B7,"")</f>
        <v/>
      </c>
      <c r="L18" s="32"/>
      <c r="M18" s="32"/>
      <c r="N18" s="32"/>
      <c r="O18" s="32"/>
    </row>
    <row r="19" spans="1:15" x14ac:dyDescent="0.3">
      <c r="A19" s="32">
        <v>13</v>
      </c>
      <c r="B19" s="32" t="s">
        <v>179</v>
      </c>
      <c r="C19" s="32"/>
      <c r="D19" s="32"/>
      <c r="E19" s="32"/>
      <c r="F19" s="30"/>
      <c r="G19" s="33"/>
      <c r="H19" s="32" t="str">
        <f t="shared" si="2"/>
        <v/>
      </c>
      <c r="I19" s="34"/>
      <c r="J19" s="35" t="str">
        <f t="shared" si="3"/>
        <v/>
      </c>
      <c r="K19" s="35" t="str">
        <f>IFERROR(J19*Продукт!B7,"")</f>
        <v/>
      </c>
      <c r="L19" s="32"/>
      <c r="M19" s="32"/>
      <c r="N19" s="32"/>
      <c r="O19" s="32"/>
    </row>
    <row r="20" spans="1:15" x14ac:dyDescent="0.3">
      <c r="A20" s="32">
        <v>14</v>
      </c>
      <c r="B20" s="32" t="s">
        <v>179</v>
      </c>
      <c r="C20" s="32"/>
      <c r="D20" s="32"/>
      <c r="E20" s="32"/>
      <c r="F20" s="30"/>
      <c r="G20" s="33"/>
      <c r="H20" s="32" t="str">
        <f t="shared" si="2"/>
        <v/>
      </c>
      <c r="I20" s="34"/>
      <c r="J20" s="35" t="str">
        <f t="shared" si="3"/>
        <v/>
      </c>
      <c r="K20" s="35" t="str">
        <f>IFERROR(J20*Продукт!B7,"")</f>
        <v/>
      </c>
      <c r="L20" s="32"/>
      <c r="M20" s="32"/>
      <c r="N20" s="32"/>
      <c r="O20" s="32"/>
    </row>
    <row r="21" spans="1:15" x14ac:dyDescent="0.3">
      <c r="A21" s="32">
        <v>15</v>
      </c>
      <c r="B21" s="32" t="s">
        <v>179</v>
      </c>
      <c r="C21" s="32"/>
      <c r="D21" s="32"/>
      <c r="E21" s="32"/>
      <c r="F21" s="30"/>
      <c r="G21" s="33"/>
      <c r="H21" s="32" t="str">
        <f t="shared" si="2"/>
        <v/>
      </c>
      <c r="I21" s="34"/>
      <c r="J21" s="35" t="str">
        <f t="shared" si="3"/>
        <v/>
      </c>
      <c r="K21" s="35" t="str">
        <f>IFERROR(J21*Продукт!B7,"")</f>
        <v/>
      </c>
      <c r="L21" s="32"/>
      <c r="M21" s="32"/>
      <c r="N21" s="32"/>
      <c r="O21" s="32"/>
    </row>
    <row r="22" spans="1:15" x14ac:dyDescent="0.3">
      <c r="A22" s="8" t="s">
        <v>183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ht="39.6" x14ac:dyDescent="0.3">
      <c r="A23" s="32">
        <v>16</v>
      </c>
      <c r="B23" s="32" t="s">
        <v>183</v>
      </c>
      <c r="C23" s="32" t="s">
        <v>184</v>
      </c>
      <c r="D23" s="32"/>
      <c r="E23" s="32" t="s">
        <v>112</v>
      </c>
      <c r="F23" s="30"/>
      <c r="G23" s="33"/>
      <c r="H23" s="32" t="str">
        <f t="shared" ref="H23:H29" si="4">IF(F23="","",F23*(1+IFERROR(G23,0)))</f>
        <v/>
      </c>
      <c r="I23" s="34"/>
      <c r="J23" s="35" t="str">
        <f t="shared" ref="J23:J29" si="5">IFERROR(H23*I23,"")</f>
        <v/>
      </c>
      <c r="K23" s="35" t="str">
        <f>IFERROR(J23*Продукт!B7,"")</f>
        <v/>
      </c>
      <c r="L23" s="32"/>
      <c r="M23" s="32"/>
      <c r="N23" s="32"/>
      <c r="O23" s="32"/>
    </row>
    <row r="24" spans="1:15" ht="39.6" x14ac:dyDescent="0.3">
      <c r="A24" s="32">
        <v>17</v>
      </c>
      <c r="B24" s="32" t="s">
        <v>183</v>
      </c>
      <c r="C24" s="32" t="s">
        <v>185</v>
      </c>
      <c r="D24" s="32"/>
      <c r="E24" s="32" t="s">
        <v>112</v>
      </c>
      <c r="F24" s="30"/>
      <c r="G24" s="33"/>
      <c r="H24" s="32" t="str">
        <f t="shared" si="4"/>
        <v/>
      </c>
      <c r="I24" s="34"/>
      <c r="J24" s="35" t="str">
        <f t="shared" si="5"/>
        <v/>
      </c>
      <c r="K24" s="35" t="str">
        <f>IFERROR(J24*Продукт!B7,"")</f>
        <v/>
      </c>
      <c r="L24" s="32"/>
      <c r="M24" s="32"/>
      <c r="N24" s="32"/>
      <c r="O24" s="32"/>
    </row>
    <row r="25" spans="1:15" ht="39.6" x14ac:dyDescent="0.3">
      <c r="A25" s="32">
        <v>18</v>
      </c>
      <c r="B25" s="32" t="s">
        <v>183</v>
      </c>
      <c r="C25" s="32"/>
      <c r="D25" s="32"/>
      <c r="E25" s="32"/>
      <c r="F25" s="30"/>
      <c r="G25" s="33"/>
      <c r="H25" s="32" t="str">
        <f t="shared" si="4"/>
        <v/>
      </c>
      <c r="I25" s="34"/>
      <c r="J25" s="35" t="str">
        <f t="shared" si="5"/>
        <v/>
      </c>
      <c r="K25" s="35" t="str">
        <f>IFERROR(J25*Продукт!B7,"")</f>
        <v/>
      </c>
      <c r="L25" s="32"/>
      <c r="M25" s="32"/>
      <c r="N25" s="32"/>
      <c r="O25" s="32"/>
    </row>
    <row r="26" spans="1:15" ht="39.6" x14ac:dyDescent="0.3">
      <c r="A26" s="32">
        <v>19</v>
      </c>
      <c r="B26" s="32" t="s">
        <v>183</v>
      </c>
      <c r="C26" s="32"/>
      <c r="D26" s="32"/>
      <c r="E26" s="32"/>
      <c r="F26" s="30"/>
      <c r="G26" s="33"/>
      <c r="H26" s="32" t="str">
        <f t="shared" si="4"/>
        <v/>
      </c>
      <c r="I26" s="34"/>
      <c r="J26" s="35" t="str">
        <f t="shared" si="5"/>
        <v/>
      </c>
      <c r="K26" s="35" t="str">
        <f>IFERROR(J26*Продукт!B7,"")</f>
        <v/>
      </c>
      <c r="L26" s="32"/>
      <c r="M26" s="32"/>
      <c r="N26" s="32"/>
      <c r="O26" s="32"/>
    </row>
    <row r="27" spans="1:15" ht="39.6" x14ac:dyDescent="0.3">
      <c r="A27" s="32">
        <v>20</v>
      </c>
      <c r="B27" s="32" t="s">
        <v>183</v>
      </c>
      <c r="C27" s="32"/>
      <c r="D27" s="32"/>
      <c r="E27" s="32"/>
      <c r="F27" s="30"/>
      <c r="G27" s="33"/>
      <c r="H27" s="32" t="str">
        <f t="shared" si="4"/>
        <v/>
      </c>
      <c r="I27" s="34"/>
      <c r="J27" s="35" t="str">
        <f t="shared" si="5"/>
        <v/>
      </c>
      <c r="K27" s="35" t="str">
        <f>IFERROR(J27*Продукт!B7,"")</f>
        <v/>
      </c>
      <c r="L27" s="32"/>
      <c r="M27" s="32"/>
      <c r="N27" s="32"/>
      <c r="O27" s="32"/>
    </row>
    <row r="28" spans="1:15" ht="39.6" x14ac:dyDescent="0.3">
      <c r="A28" s="32">
        <v>21</v>
      </c>
      <c r="B28" s="32" t="s">
        <v>183</v>
      </c>
      <c r="C28" s="32"/>
      <c r="D28" s="32"/>
      <c r="E28" s="32"/>
      <c r="F28" s="30"/>
      <c r="G28" s="33"/>
      <c r="H28" s="32" t="str">
        <f t="shared" si="4"/>
        <v/>
      </c>
      <c r="I28" s="34"/>
      <c r="J28" s="35" t="str">
        <f t="shared" si="5"/>
        <v/>
      </c>
      <c r="K28" s="35" t="str">
        <f>IFERROR(J28*Продукт!B7,"")</f>
        <v/>
      </c>
      <c r="L28" s="32"/>
      <c r="M28" s="32"/>
      <c r="N28" s="32"/>
      <c r="O28" s="32"/>
    </row>
    <row r="29" spans="1:15" ht="39.6" x14ac:dyDescent="0.3">
      <c r="A29" s="32">
        <v>22</v>
      </c>
      <c r="B29" s="32" t="s">
        <v>183</v>
      </c>
      <c r="C29" s="32"/>
      <c r="D29" s="32"/>
      <c r="E29" s="32"/>
      <c r="F29" s="30"/>
      <c r="G29" s="33"/>
      <c r="H29" s="32" t="str">
        <f t="shared" si="4"/>
        <v/>
      </c>
      <c r="I29" s="34"/>
      <c r="J29" s="35" t="str">
        <f t="shared" si="5"/>
        <v/>
      </c>
      <c r="K29" s="35" t="str">
        <f>IFERROR(J29*Продукт!B7,"")</f>
        <v/>
      </c>
      <c r="L29" s="32"/>
      <c r="M29" s="32"/>
      <c r="N29" s="32"/>
      <c r="O29" s="32"/>
    </row>
    <row r="30" spans="1:15" x14ac:dyDescent="0.3">
      <c r="A30" s="7" t="s">
        <v>126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3">
      <c r="A31" s="32">
        <v>23</v>
      </c>
      <c r="B31" s="32"/>
      <c r="C31" s="32"/>
      <c r="D31" s="32"/>
      <c r="E31" s="32"/>
      <c r="F31" s="30"/>
      <c r="G31" s="33"/>
      <c r="H31" s="32" t="str">
        <f>IF(F31="","",F31*(1+IFERROR(G31,0)))</f>
        <v/>
      </c>
      <c r="I31" s="34"/>
      <c r="J31" s="35" t="str">
        <f>IFERROR(H31*I31,"")</f>
        <v/>
      </c>
      <c r="K31" s="35" t="str">
        <f>IFERROR(J31*Продукт!B7,"")</f>
        <v/>
      </c>
      <c r="L31" s="32"/>
      <c r="M31" s="32"/>
      <c r="N31" s="32"/>
      <c r="O31" s="32"/>
    </row>
    <row r="32" spans="1:15" x14ac:dyDescent="0.3">
      <c r="A32" s="32">
        <v>24</v>
      </c>
      <c r="B32" s="32"/>
      <c r="C32" s="32"/>
      <c r="D32" s="32"/>
      <c r="E32" s="32"/>
      <c r="F32" s="30"/>
      <c r="G32" s="33"/>
      <c r="H32" s="32" t="str">
        <f>IF(F32="","",F32*(1+IFERROR(G32,0)))</f>
        <v/>
      </c>
      <c r="I32" s="34"/>
      <c r="J32" s="35" t="str">
        <f>IFERROR(H32*I32,"")</f>
        <v/>
      </c>
      <c r="K32" s="35" t="str">
        <f>IFERROR(J32*Продукт!B7,"")</f>
        <v/>
      </c>
      <c r="L32" s="32"/>
      <c r="M32" s="32"/>
      <c r="N32" s="32"/>
      <c r="O32" s="32"/>
    </row>
    <row r="33" spans="1:15" x14ac:dyDescent="0.3">
      <c r="A33" s="32">
        <v>25</v>
      </c>
      <c r="B33" s="32"/>
      <c r="C33" s="32"/>
      <c r="D33" s="32"/>
      <c r="E33" s="32"/>
      <c r="F33" s="30"/>
      <c r="G33" s="33"/>
      <c r="H33" s="32" t="str">
        <f>IF(F33="","",F33*(1+IFERROR(G33,0)))</f>
        <v/>
      </c>
      <c r="I33" s="34"/>
      <c r="J33" s="35" t="str">
        <f>IFERROR(H33*I33,"")</f>
        <v/>
      </c>
      <c r="K33" s="35" t="str">
        <f>IFERROR(J33*Продукт!B7,"")</f>
        <v/>
      </c>
      <c r="L33" s="32"/>
      <c r="M33" s="32"/>
      <c r="N33" s="32"/>
      <c r="O33" s="32"/>
    </row>
    <row r="34" spans="1:15" x14ac:dyDescent="0.3">
      <c r="A34" s="32">
        <v>26</v>
      </c>
      <c r="B34" s="32"/>
      <c r="C34" s="32"/>
      <c r="D34" s="32"/>
      <c r="E34" s="32"/>
      <c r="F34" s="30"/>
      <c r="G34" s="33"/>
      <c r="H34" s="32" t="str">
        <f>IF(F34="","",F34*(1+IFERROR(G34,0)))</f>
        <v/>
      </c>
      <c r="I34" s="34"/>
      <c r="J34" s="35" t="str">
        <f>IFERROR(H34*I34,"")</f>
        <v/>
      </c>
      <c r="K34" s="35" t="str">
        <f>IFERROR(J34*Продукт!B7,"")</f>
        <v/>
      </c>
      <c r="L34" s="32"/>
      <c r="M34" s="32"/>
      <c r="N34" s="32"/>
      <c r="O34" s="32"/>
    </row>
    <row r="35" spans="1:15" x14ac:dyDescent="0.3">
      <c r="A35" s="32">
        <v>27</v>
      </c>
      <c r="B35" s="32"/>
      <c r="C35" s="32"/>
      <c r="D35" s="32"/>
      <c r="E35" s="32"/>
      <c r="F35" s="30"/>
      <c r="G35" s="33"/>
      <c r="H35" s="32" t="str">
        <f>IF(F35="","",F35*(1+IFERROR(G35,0)))</f>
        <v/>
      </c>
      <c r="I35" s="34"/>
      <c r="J35" s="35" t="str">
        <f>IFERROR(H35*I35,"")</f>
        <v/>
      </c>
      <c r="K35" s="35" t="str">
        <f>IFERROR(J35*Продукт!B7,"")</f>
        <v/>
      </c>
      <c r="L35" s="32"/>
      <c r="M35" s="32"/>
      <c r="N35" s="32"/>
      <c r="O35" s="32"/>
    </row>
    <row r="37" spans="1:15" x14ac:dyDescent="0.3">
      <c r="A37" s="6" t="s">
        <v>127</v>
      </c>
      <c r="B37" s="6"/>
      <c r="C37" s="6"/>
      <c r="D37" s="6"/>
      <c r="E37" s="6"/>
      <c r="F37" s="6"/>
      <c r="G37" s="6"/>
      <c r="H37" s="6"/>
      <c r="I37" s="6"/>
      <c r="J37" s="36">
        <f>SUMIF(J5:J35,"&gt;0")</f>
        <v>0</v>
      </c>
      <c r="K37" s="36">
        <f>SUMIF(K5:K35,"&gt;0")</f>
        <v>0</v>
      </c>
      <c r="L37" s="18"/>
      <c r="M37" s="18"/>
      <c r="N37" s="18"/>
      <c r="O37" s="18"/>
    </row>
  </sheetData>
  <mergeCells count="7">
    <mergeCell ref="A30:O30"/>
    <mergeCell ref="A37:I37"/>
    <mergeCell ref="A1:O1"/>
    <mergeCell ref="A2:O2"/>
    <mergeCell ref="A5:O5"/>
    <mergeCell ref="A14:O14"/>
    <mergeCell ref="A22:O2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9" sqref="K9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3" customWidth="1"/>
    <col min="7" max="7" width="14" customWidth="1"/>
    <col min="8" max="8" width="13" customWidth="1"/>
    <col min="9" max="9" width="14" customWidth="1"/>
    <col min="10" max="11" width="16" customWidth="1"/>
    <col min="12" max="12" width="20" customWidth="1"/>
    <col min="13" max="13" width="12" customWidth="1"/>
    <col min="14" max="14" width="30" customWidth="1"/>
  </cols>
  <sheetData>
    <row r="1" spans="1:14" ht="27.75" customHeight="1" x14ac:dyDescent="0.4">
      <c r="A1" s="5" t="s">
        <v>186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9" t="s">
        <v>187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94.8" customHeight="1" x14ac:dyDescent="0.3">
      <c r="A4" s="37" t="s">
        <v>95</v>
      </c>
      <c r="B4" s="37" t="s">
        <v>96</v>
      </c>
      <c r="C4" s="37" t="s">
        <v>97</v>
      </c>
      <c r="D4" s="37" t="s">
        <v>98</v>
      </c>
      <c r="E4" s="37" t="s">
        <v>99</v>
      </c>
      <c r="F4" s="37" t="s">
        <v>188</v>
      </c>
      <c r="G4" s="37" t="s">
        <v>189</v>
      </c>
      <c r="H4" s="37" t="s">
        <v>190</v>
      </c>
      <c r="I4" s="37" t="s">
        <v>103</v>
      </c>
      <c r="J4" s="37" t="s">
        <v>191</v>
      </c>
      <c r="K4" s="37" t="s">
        <v>104</v>
      </c>
      <c r="L4" s="37" t="s">
        <v>106</v>
      </c>
      <c r="M4" s="37" t="s">
        <v>192</v>
      </c>
      <c r="N4" s="37" t="s">
        <v>109</v>
      </c>
    </row>
    <row r="5" spans="1:14" x14ac:dyDescent="0.3">
      <c r="A5" s="4" t="s">
        <v>193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39.6" x14ac:dyDescent="0.3">
      <c r="A6" s="32">
        <v>1</v>
      </c>
      <c r="B6" s="32" t="s">
        <v>193</v>
      </c>
      <c r="C6" s="32" t="s">
        <v>194</v>
      </c>
      <c r="D6" s="32"/>
      <c r="E6" s="32" t="s">
        <v>75</v>
      </c>
      <c r="F6" s="30"/>
      <c r="G6" s="30"/>
      <c r="H6" s="32" t="s">
        <v>195</v>
      </c>
      <c r="I6" s="34"/>
      <c r="J6" s="35" t="str">
        <f>IFERROR(F6*I6/G6*Продукт!B9,"")</f>
        <v/>
      </c>
      <c r="K6" s="38" t="str">
        <f>IFERROR(J6/Продукт!B7,"")</f>
        <v/>
      </c>
      <c r="L6" s="32"/>
      <c r="M6" s="32"/>
      <c r="N6" s="32"/>
    </row>
    <row r="7" spans="1:14" ht="39.6" x14ac:dyDescent="0.3">
      <c r="A7" s="32">
        <v>2</v>
      </c>
      <c r="B7" s="32" t="s">
        <v>193</v>
      </c>
      <c r="C7" s="32" t="s">
        <v>196</v>
      </c>
      <c r="D7" s="32"/>
      <c r="E7" s="32" t="s">
        <v>75</v>
      </c>
      <c r="F7" s="30"/>
      <c r="G7" s="30"/>
      <c r="H7" s="32" t="s">
        <v>195</v>
      </c>
      <c r="I7" s="34"/>
      <c r="J7" s="35" t="str">
        <f>IFERROR(F7*I7/G7*Продукт!B9,"")</f>
        <v/>
      </c>
      <c r="K7" s="38" t="str">
        <f>IFERROR(J7/Продукт!B7,"")</f>
        <v/>
      </c>
      <c r="L7" s="32"/>
      <c r="M7" s="32"/>
      <c r="N7" s="32"/>
    </row>
    <row r="8" spans="1:14" ht="39.6" x14ac:dyDescent="0.3">
      <c r="A8" s="32">
        <v>3</v>
      </c>
      <c r="B8" s="32" t="s">
        <v>193</v>
      </c>
      <c r="C8" s="32" t="s">
        <v>197</v>
      </c>
      <c r="D8" s="32"/>
      <c r="E8" s="32" t="s">
        <v>75</v>
      </c>
      <c r="F8" s="30"/>
      <c r="G8" s="30"/>
      <c r="H8" s="32" t="s">
        <v>195</v>
      </c>
      <c r="I8" s="34"/>
      <c r="J8" s="35" t="str">
        <f>IFERROR(F8*I8/G8*Продукт!B9,"")</f>
        <v/>
      </c>
      <c r="K8" s="38" t="str">
        <f>IFERROR(J8/Продукт!B7,"")</f>
        <v/>
      </c>
      <c r="L8" s="32"/>
      <c r="M8" s="32"/>
      <c r="N8" s="32"/>
    </row>
    <row r="9" spans="1:14" ht="39.6" x14ac:dyDescent="0.3">
      <c r="A9" s="32">
        <v>4</v>
      </c>
      <c r="B9" s="32" t="s">
        <v>193</v>
      </c>
      <c r="C9" s="66" t="s">
        <v>221</v>
      </c>
      <c r="D9" s="32"/>
      <c r="E9" s="66" t="s">
        <v>75</v>
      </c>
      <c r="F9" s="30">
        <v>10</v>
      </c>
      <c r="G9" s="30">
        <v>6</v>
      </c>
      <c r="H9" s="32" t="s">
        <v>195</v>
      </c>
      <c r="I9" s="34">
        <v>500000</v>
      </c>
      <c r="J9" s="35">
        <f>IFERROR(F9*I9/G9*Продукт!B9,"")</f>
        <v>833333.33333333337</v>
      </c>
      <c r="K9" s="38">
        <f>IFERROR(J9/Продукт!B7,"")</f>
        <v>8.3333333333333339</v>
      </c>
      <c r="L9" s="32"/>
      <c r="M9" s="32"/>
      <c r="N9" s="32"/>
    </row>
    <row r="10" spans="1:14" ht="39.6" x14ac:dyDescent="0.3">
      <c r="A10" s="32">
        <v>5</v>
      </c>
      <c r="B10" s="32" t="s">
        <v>193</v>
      </c>
      <c r="C10" s="32"/>
      <c r="D10" s="32"/>
      <c r="E10" s="32"/>
      <c r="F10" s="30"/>
      <c r="G10" s="30"/>
      <c r="H10" s="32"/>
      <c r="I10" s="34"/>
      <c r="J10" s="35" t="str">
        <f>IFERROR(F10*I10/G10*Продукт!B9,"")</f>
        <v/>
      </c>
      <c r="K10" s="38" t="str">
        <f>IFERROR(J10/Продукт!B7,"")</f>
        <v/>
      </c>
      <c r="L10" s="32"/>
      <c r="M10" s="32"/>
      <c r="N10" s="32"/>
    </row>
    <row r="11" spans="1:14" ht="39.6" x14ac:dyDescent="0.3">
      <c r="A11" s="32">
        <v>6</v>
      </c>
      <c r="B11" s="32" t="s">
        <v>193</v>
      </c>
      <c r="C11" s="32"/>
      <c r="D11" s="32"/>
      <c r="E11" s="32"/>
      <c r="F11" s="30"/>
      <c r="G11" s="30"/>
      <c r="H11" s="32"/>
      <c r="I11" s="34"/>
      <c r="J11" s="35" t="str">
        <f>IFERROR(F11*I11/G11*Продукт!B9,"")</f>
        <v/>
      </c>
      <c r="K11" s="38" t="str">
        <f>IFERROR(J11/Продукт!B7,"")</f>
        <v/>
      </c>
      <c r="L11" s="32"/>
      <c r="M11" s="32"/>
      <c r="N11" s="32"/>
    </row>
    <row r="12" spans="1:14" ht="39.6" x14ac:dyDescent="0.3">
      <c r="A12" s="32">
        <v>7</v>
      </c>
      <c r="B12" s="32" t="s">
        <v>193</v>
      </c>
      <c r="C12" s="32"/>
      <c r="D12" s="32"/>
      <c r="E12" s="32"/>
      <c r="F12" s="30"/>
      <c r="G12" s="30"/>
      <c r="H12" s="32"/>
      <c r="I12" s="34"/>
      <c r="J12" s="35" t="str">
        <f>IFERROR(F12*I12/G12*Продукт!B9,"")</f>
        <v/>
      </c>
      <c r="K12" s="38" t="str">
        <f>IFERROR(J12/Продукт!B7,"")</f>
        <v/>
      </c>
      <c r="L12" s="32"/>
      <c r="M12" s="32"/>
      <c r="N12" s="32"/>
    </row>
    <row r="13" spans="1:14" ht="39.6" x14ac:dyDescent="0.3">
      <c r="A13" s="32">
        <v>8</v>
      </c>
      <c r="B13" s="32" t="s">
        <v>193</v>
      </c>
      <c r="C13" s="32"/>
      <c r="D13" s="32"/>
      <c r="E13" s="32"/>
      <c r="F13" s="30"/>
      <c r="G13" s="30"/>
      <c r="H13" s="32"/>
      <c r="I13" s="34"/>
      <c r="J13" s="35" t="str">
        <f>IFERROR(F13*I13/G13*Продукт!B9,"")</f>
        <v/>
      </c>
      <c r="K13" s="38" t="str">
        <f>IFERROR(J13/Продукт!B7,"")</f>
        <v/>
      </c>
      <c r="L13" s="32"/>
      <c r="M13" s="32"/>
      <c r="N13" s="32"/>
    </row>
    <row r="14" spans="1:14" x14ac:dyDescent="0.3">
      <c r="A14" s="4" t="s">
        <v>198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26.4" x14ac:dyDescent="0.3">
      <c r="A15" s="32">
        <v>9</v>
      </c>
      <c r="B15" s="32" t="s">
        <v>198</v>
      </c>
      <c r="C15" s="32" t="s">
        <v>199</v>
      </c>
      <c r="D15" s="32"/>
      <c r="E15" s="32" t="s">
        <v>75</v>
      </c>
      <c r="F15" s="30"/>
      <c r="G15" s="30"/>
      <c r="H15" s="32" t="s">
        <v>195</v>
      </c>
      <c r="I15" s="34"/>
      <c r="J15" s="35" t="str">
        <f>IFERROR(F15*I15/G15*Продукт!B9,"")</f>
        <v/>
      </c>
      <c r="K15" s="38" t="str">
        <f>IFERROR(J15/Продукт!B7,"")</f>
        <v/>
      </c>
      <c r="L15" s="32"/>
      <c r="M15" s="32"/>
      <c r="N15" s="32"/>
    </row>
    <row r="16" spans="1:14" ht="26.4" x14ac:dyDescent="0.3">
      <c r="A16" s="32">
        <v>10</v>
      </c>
      <c r="B16" s="32" t="s">
        <v>198</v>
      </c>
      <c r="C16" s="32" t="s">
        <v>200</v>
      </c>
      <c r="D16" s="32"/>
      <c r="E16" s="32" t="s">
        <v>75</v>
      </c>
      <c r="F16" s="30"/>
      <c r="G16" s="30"/>
      <c r="H16" s="32" t="s">
        <v>195</v>
      </c>
      <c r="I16" s="34"/>
      <c r="J16" s="35" t="str">
        <f>IFERROR(F16*I16/G16*Продукт!B9,"")</f>
        <v/>
      </c>
      <c r="K16" s="38" t="str">
        <f>IFERROR(J16/Продукт!B7,"")</f>
        <v/>
      </c>
      <c r="L16" s="32"/>
      <c r="M16" s="32"/>
      <c r="N16" s="32"/>
    </row>
    <row r="17" spans="1:14" ht="26.4" x14ac:dyDescent="0.3">
      <c r="A17" s="32">
        <v>11</v>
      </c>
      <c r="B17" s="32" t="s">
        <v>198</v>
      </c>
      <c r="C17" s="32"/>
      <c r="D17" s="32"/>
      <c r="E17" s="32"/>
      <c r="F17" s="30"/>
      <c r="G17" s="30"/>
      <c r="H17" s="32"/>
      <c r="I17" s="34"/>
      <c r="J17" s="35" t="str">
        <f>IFERROR(F17*I17/G17*Продукт!B9,"")</f>
        <v/>
      </c>
      <c r="K17" s="38" t="str">
        <f>IFERROR(J17/Продукт!B7,"")</f>
        <v/>
      </c>
      <c r="L17" s="32"/>
      <c r="M17" s="32"/>
      <c r="N17" s="32"/>
    </row>
    <row r="18" spans="1:14" ht="26.4" x14ac:dyDescent="0.3">
      <c r="A18" s="32">
        <v>12</v>
      </c>
      <c r="B18" s="32" t="s">
        <v>198</v>
      </c>
      <c r="C18" s="32"/>
      <c r="D18" s="32"/>
      <c r="E18" s="32"/>
      <c r="F18" s="30"/>
      <c r="G18" s="30"/>
      <c r="H18" s="32"/>
      <c r="I18" s="34"/>
      <c r="J18" s="35" t="str">
        <f>IFERROR(F18*I18/G18*Продукт!B9,"")</f>
        <v/>
      </c>
      <c r="K18" s="38" t="str">
        <f>IFERROR(J18/Продукт!B7,"")</f>
        <v/>
      </c>
      <c r="L18" s="32"/>
      <c r="M18" s="32"/>
      <c r="N18" s="32"/>
    </row>
    <row r="19" spans="1:14" ht="26.4" x14ac:dyDescent="0.3">
      <c r="A19" s="32">
        <v>13</v>
      </c>
      <c r="B19" s="32" t="s">
        <v>198</v>
      </c>
      <c r="C19" s="32"/>
      <c r="D19" s="32"/>
      <c r="E19" s="32"/>
      <c r="F19" s="30"/>
      <c r="G19" s="30"/>
      <c r="H19" s="32"/>
      <c r="I19" s="34"/>
      <c r="J19" s="35" t="str">
        <f>IFERROR(F19*I19/G19*Продукт!B9,"")</f>
        <v/>
      </c>
      <c r="K19" s="38" t="str">
        <f>IFERROR(J19/Продукт!B7,"")</f>
        <v/>
      </c>
      <c r="L19" s="32"/>
      <c r="M19" s="32"/>
      <c r="N19" s="32"/>
    </row>
    <row r="20" spans="1:14" ht="26.4" x14ac:dyDescent="0.3">
      <c r="A20" s="32">
        <v>14</v>
      </c>
      <c r="B20" s="32" t="s">
        <v>198</v>
      </c>
      <c r="C20" s="32"/>
      <c r="D20" s="32"/>
      <c r="E20" s="32"/>
      <c r="F20" s="30"/>
      <c r="G20" s="30"/>
      <c r="H20" s="32"/>
      <c r="I20" s="34"/>
      <c r="J20" s="35" t="str">
        <f>IFERROR(F20*I20/G20*Продукт!B9,"")</f>
        <v/>
      </c>
      <c r="K20" s="38" t="str">
        <f>IFERROR(J20/Продукт!B7,"")</f>
        <v/>
      </c>
      <c r="L20" s="32"/>
      <c r="M20" s="32"/>
      <c r="N20" s="32"/>
    </row>
    <row r="21" spans="1:14" ht="26.4" x14ac:dyDescent="0.3">
      <c r="A21" s="32">
        <v>15</v>
      </c>
      <c r="B21" s="32" t="s">
        <v>198</v>
      </c>
      <c r="C21" s="32"/>
      <c r="D21" s="32"/>
      <c r="E21" s="32"/>
      <c r="F21" s="30"/>
      <c r="G21" s="30"/>
      <c r="H21" s="32"/>
      <c r="I21" s="34"/>
      <c r="J21" s="35" t="str">
        <f>IFERROR(F21*I21/G21*Продукт!B9,"")</f>
        <v/>
      </c>
      <c r="K21" s="38" t="str">
        <f>IFERROR(J21/Продукт!B7,"")</f>
        <v/>
      </c>
      <c r="L21" s="32"/>
      <c r="M21" s="32"/>
      <c r="N21" s="32"/>
    </row>
    <row r="22" spans="1:14" x14ac:dyDescent="0.3">
      <c r="A22" s="4" t="s">
        <v>201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39.6" x14ac:dyDescent="0.3">
      <c r="A23" s="32">
        <v>16</v>
      </c>
      <c r="B23" s="32" t="s">
        <v>201</v>
      </c>
      <c r="C23" s="32" t="s">
        <v>202</v>
      </c>
      <c r="D23" s="32"/>
      <c r="E23" s="32" t="s">
        <v>75</v>
      </c>
      <c r="F23" s="30"/>
      <c r="G23" s="30"/>
      <c r="H23" s="32" t="s">
        <v>195</v>
      </c>
      <c r="I23" s="34"/>
      <c r="J23" s="35" t="str">
        <f>IFERROR(F23*I23/G23*Продукт!B9,"")</f>
        <v/>
      </c>
      <c r="K23" s="38" t="str">
        <f>IFERROR(J23/Продукт!B7,"")</f>
        <v/>
      </c>
      <c r="L23" s="32"/>
      <c r="M23" s="32"/>
      <c r="N23" s="32"/>
    </row>
    <row r="24" spans="1:14" ht="39.6" x14ac:dyDescent="0.3">
      <c r="A24" s="32">
        <v>17</v>
      </c>
      <c r="B24" s="32" t="s">
        <v>201</v>
      </c>
      <c r="C24" s="32" t="s">
        <v>203</v>
      </c>
      <c r="D24" s="32"/>
      <c r="E24" s="32" t="s">
        <v>75</v>
      </c>
      <c r="F24" s="30"/>
      <c r="G24" s="30"/>
      <c r="H24" s="32" t="s">
        <v>195</v>
      </c>
      <c r="I24" s="34"/>
      <c r="J24" s="35" t="str">
        <f>IFERROR(F24*I24/G24*Продукт!B9,"")</f>
        <v/>
      </c>
      <c r="K24" s="38" t="str">
        <f>IFERROR(J24/Продукт!B7,"")</f>
        <v/>
      </c>
      <c r="L24" s="32"/>
      <c r="M24" s="32"/>
      <c r="N24" s="32"/>
    </row>
    <row r="25" spans="1:14" ht="39.6" x14ac:dyDescent="0.3">
      <c r="A25" s="32">
        <v>18</v>
      </c>
      <c r="B25" s="32" t="s">
        <v>201</v>
      </c>
      <c r="C25" s="32"/>
      <c r="D25" s="32"/>
      <c r="E25" s="32"/>
      <c r="F25" s="30"/>
      <c r="G25" s="30"/>
      <c r="H25" s="32"/>
      <c r="I25" s="34"/>
      <c r="J25" s="35" t="str">
        <f>IFERROR(F25*I25/G25*Продукт!B9,"")</f>
        <v/>
      </c>
      <c r="K25" s="38" t="str">
        <f>IFERROR(J25/Продукт!B7,"")</f>
        <v/>
      </c>
      <c r="L25" s="32"/>
      <c r="M25" s="32"/>
      <c r="N25" s="32"/>
    </row>
    <row r="26" spans="1:14" ht="39.6" x14ac:dyDescent="0.3">
      <c r="A26" s="32">
        <v>19</v>
      </c>
      <c r="B26" s="32" t="s">
        <v>201</v>
      </c>
      <c r="C26" s="32"/>
      <c r="D26" s="32"/>
      <c r="E26" s="32"/>
      <c r="F26" s="30"/>
      <c r="G26" s="30"/>
      <c r="H26" s="32"/>
      <c r="I26" s="34"/>
      <c r="J26" s="35" t="str">
        <f>IFERROR(F26*I26/G26*Продукт!B9,"")</f>
        <v/>
      </c>
      <c r="K26" s="38" t="str">
        <f>IFERROR(J26/Продукт!B7,"")</f>
        <v/>
      </c>
      <c r="L26" s="32"/>
      <c r="M26" s="32"/>
      <c r="N26" s="32"/>
    </row>
    <row r="27" spans="1:14" ht="39.6" x14ac:dyDescent="0.3">
      <c r="A27" s="32">
        <v>20</v>
      </c>
      <c r="B27" s="32" t="s">
        <v>201</v>
      </c>
      <c r="C27" s="32"/>
      <c r="D27" s="32"/>
      <c r="E27" s="32"/>
      <c r="F27" s="30"/>
      <c r="G27" s="30"/>
      <c r="H27" s="32"/>
      <c r="I27" s="34"/>
      <c r="J27" s="35" t="str">
        <f>IFERROR(F27*I27/G27*Продукт!B9,"")</f>
        <v/>
      </c>
      <c r="K27" s="38" t="str">
        <f>IFERROR(J27/Продукт!B7,"")</f>
        <v/>
      </c>
      <c r="L27" s="32"/>
      <c r="M27" s="32"/>
      <c r="N27" s="32"/>
    </row>
    <row r="28" spans="1:14" ht="39.6" x14ac:dyDescent="0.3">
      <c r="A28" s="32">
        <v>21</v>
      </c>
      <c r="B28" s="32" t="s">
        <v>201</v>
      </c>
      <c r="C28" s="32"/>
      <c r="D28" s="32"/>
      <c r="E28" s="32"/>
      <c r="F28" s="30"/>
      <c r="G28" s="30"/>
      <c r="H28" s="32"/>
      <c r="I28" s="34"/>
      <c r="J28" s="35" t="str">
        <f>IFERROR(F28*I28/G28*Продукт!B9,"")</f>
        <v/>
      </c>
      <c r="K28" s="38" t="str">
        <f>IFERROR(J28/Продукт!B7,"")</f>
        <v/>
      </c>
      <c r="L28" s="32"/>
      <c r="M28" s="32"/>
      <c r="N28" s="32"/>
    </row>
    <row r="29" spans="1:14" ht="39.6" x14ac:dyDescent="0.3">
      <c r="A29" s="32">
        <v>22</v>
      </c>
      <c r="B29" s="32" t="s">
        <v>201</v>
      </c>
      <c r="C29" s="32"/>
      <c r="D29" s="32"/>
      <c r="E29" s="32"/>
      <c r="F29" s="30"/>
      <c r="G29" s="30"/>
      <c r="H29" s="32"/>
      <c r="I29" s="34"/>
      <c r="J29" s="35" t="str">
        <f>IFERROR(F29*I29/G29*Продукт!B9,"")</f>
        <v/>
      </c>
      <c r="K29" s="38" t="str">
        <f>IFERROR(J29/Продукт!B7,"")</f>
        <v/>
      </c>
      <c r="L29" s="32"/>
      <c r="M29" s="32"/>
      <c r="N29" s="32"/>
    </row>
    <row r="30" spans="1:14" x14ac:dyDescent="0.3">
      <c r="A30" s="7" t="s">
        <v>204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x14ac:dyDescent="0.3">
      <c r="A31" s="32">
        <v>23</v>
      </c>
      <c r="B31" s="32"/>
      <c r="C31" s="32"/>
      <c r="D31" s="32"/>
      <c r="E31" s="32"/>
      <c r="F31" s="30"/>
      <c r="G31" s="30"/>
      <c r="H31" s="32"/>
      <c r="I31" s="34"/>
      <c r="J31" s="35" t="str">
        <f>IFERROR(F31*I31/G31*Продукт!B9,"")</f>
        <v/>
      </c>
      <c r="K31" s="38" t="str">
        <f>IFERROR(J31/Продукт!B7,"")</f>
        <v/>
      </c>
      <c r="L31" s="32"/>
      <c r="M31" s="32"/>
      <c r="N31" s="32"/>
    </row>
    <row r="32" spans="1:14" x14ac:dyDescent="0.3">
      <c r="A32" s="32">
        <v>24</v>
      </c>
      <c r="B32" s="32"/>
      <c r="C32" s="32"/>
      <c r="D32" s="32"/>
      <c r="E32" s="32"/>
      <c r="F32" s="30"/>
      <c r="G32" s="30"/>
      <c r="H32" s="32"/>
      <c r="I32" s="34"/>
      <c r="J32" s="35" t="str">
        <f>IFERROR(F32*I32/G32*Продукт!B9,"")</f>
        <v/>
      </c>
      <c r="K32" s="38" t="str">
        <f>IFERROR(J32/Продукт!B7,"")</f>
        <v/>
      </c>
      <c r="L32" s="32"/>
      <c r="M32" s="32"/>
      <c r="N32" s="32"/>
    </row>
    <row r="33" spans="1:14" x14ac:dyDescent="0.3">
      <c r="A33" s="32">
        <v>25</v>
      </c>
      <c r="B33" s="32"/>
      <c r="C33" s="32"/>
      <c r="D33" s="32"/>
      <c r="E33" s="32"/>
      <c r="F33" s="30"/>
      <c r="G33" s="30"/>
      <c r="H33" s="32"/>
      <c r="I33" s="34"/>
      <c r="J33" s="35" t="str">
        <f>IFERROR(F33*I33/G33*Продукт!B9,"")</f>
        <v/>
      </c>
      <c r="K33" s="38" t="str">
        <f>IFERROR(J33/Продукт!B7,"")</f>
        <v/>
      </c>
      <c r="L33" s="32"/>
      <c r="M33" s="32"/>
      <c r="N33" s="32"/>
    </row>
    <row r="34" spans="1:14" x14ac:dyDescent="0.3">
      <c r="A34" s="32">
        <v>26</v>
      </c>
      <c r="B34" s="32"/>
      <c r="C34" s="32"/>
      <c r="D34" s="32"/>
      <c r="E34" s="32"/>
      <c r="F34" s="30"/>
      <c r="G34" s="30"/>
      <c r="H34" s="32"/>
      <c r="I34" s="34"/>
      <c r="J34" s="35" t="str">
        <f>IFERROR(F34*I34/G34*Продукт!B9,"")</f>
        <v/>
      </c>
      <c r="K34" s="38" t="str">
        <f>IFERROR(J34/Продукт!B7,"")</f>
        <v/>
      </c>
      <c r="L34" s="32"/>
      <c r="M34" s="32"/>
      <c r="N34" s="32"/>
    </row>
    <row r="35" spans="1:14" x14ac:dyDescent="0.3">
      <c r="A35" s="32">
        <v>27</v>
      </c>
      <c r="B35" s="32"/>
      <c r="C35" s="32"/>
      <c r="D35" s="32"/>
      <c r="E35" s="32"/>
      <c r="F35" s="30"/>
      <c r="G35" s="30"/>
      <c r="H35" s="32"/>
      <c r="I35" s="34"/>
      <c r="J35" s="35" t="str">
        <f>IFERROR(F35*I35/G35*Продукт!B9,"")</f>
        <v/>
      </c>
      <c r="K35" s="38" t="str">
        <f>IFERROR(J35/Продукт!B7,"")</f>
        <v/>
      </c>
      <c r="L35" s="32"/>
      <c r="M35" s="32"/>
      <c r="N35" s="32"/>
    </row>
    <row r="37" spans="1:14" x14ac:dyDescent="0.3">
      <c r="A37" s="6" t="s">
        <v>127</v>
      </c>
      <c r="B37" s="6"/>
      <c r="C37" s="6"/>
      <c r="D37" s="6"/>
      <c r="E37" s="6"/>
      <c r="F37" s="6"/>
      <c r="G37" s="6"/>
      <c r="H37" s="6"/>
      <c r="I37" s="6"/>
      <c r="J37" s="36">
        <f>SUMIF(J5:J35,"&gt;0")</f>
        <v>833333.33333333337</v>
      </c>
      <c r="K37" s="39">
        <f>SUMIF(K5:K35,"&gt;0")</f>
        <v>8.3333333333333339</v>
      </c>
      <c r="L37" s="18"/>
      <c r="M37" s="18"/>
      <c r="N37" s="18"/>
    </row>
  </sheetData>
  <mergeCells count="7">
    <mergeCell ref="A30:N30"/>
    <mergeCell ref="A37:I37"/>
    <mergeCell ref="A1:N1"/>
    <mergeCell ref="A2:N2"/>
    <mergeCell ref="A5:N5"/>
    <mergeCell ref="A14:N14"/>
    <mergeCell ref="A22:N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N1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3" customWidth="1"/>
    <col min="7" max="7" width="14" customWidth="1"/>
    <col min="8" max="8" width="13" customWidth="1"/>
    <col min="9" max="9" width="14" customWidth="1"/>
    <col min="10" max="11" width="16" customWidth="1"/>
    <col min="12" max="12" width="20" customWidth="1"/>
    <col min="13" max="13" width="12" customWidth="1"/>
    <col min="14" max="14" width="30" customWidth="1"/>
  </cols>
  <sheetData>
    <row r="1" spans="1:14" ht="27.75" customHeight="1" x14ac:dyDescent="0.4">
      <c r="A1" s="5" t="s">
        <v>205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9" t="s">
        <v>206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45" customHeight="1" x14ac:dyDescent="0.3">
      <c r="A4" s="37" t="s">
        <v>95</v>
      </c>
      <c r="B4" s="37" t="s">
        <v>96</v>
      </c>
      <c r="C4" s="37" t="s">
        <v>97</v>
      </c>
      <c r="D4" s="37" t="s">
        <v>98</v>
      </c>
      <c r="E4" s="37" t="s">
        <v>99</v>
      </c>
      <c r="F4" s="37" t="s">
        <v>188</v>
      </c>
      <c r="G4" s="37" t="s">
        <v>189</v>
      </c>
      <c r="H4" s="37" t="s">
        <v>190</v>
      </c>
      <c r="I4" s="37" t="s">
        <v>103</v>
      </c>
      <c r="J4" s="37" t="s">
        <v>191</v>
      </c>
      <c r="K4" s="37" t="s">
        <v>104</v>
      </c>
      <c r="L4" s="37" t="s">
        <v>106</v>
      </c>
      <c r="M4" s="37" t="s">
        <v>192</v>
      </c>
      <c r="N4" s="37" t="s">
        <v>109</v>
      </c>
    </row>
    <row r="5" spans="1:14" x14ac:dyDescent="0.3">
      <c r="A5" s="4" t="s">
        <v>207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26.4" x14ac:dyDescent="0.3">
      <c r="A6" s="32">
        <v>1</v>
      </c>
      <c r="B6" s="32" t="s">
        <v>207</v>
      </c>
      <c r="C6" s="32" t="s">
        <v>208</v>
      </c>
      <c r="D6" s="32"/>
      <c r="E6" s="32" t="s">
        <v>75</v>
      </c>
      <c r="F6" s="30"/>
      <c r="G6" s="30"/>
      <c r="H6" s="32" t="s">
        <v>209</v>
      </c>
      <c r="I6" s="34"/>
      <c r="J6" s="35" t="str">
        <f>IFERROR(K6*Продукт!B7,"")</f>
        <v/>
      </c>
      <c r="K6" s="38" t="str">
        <f t="shared" ref="K6:K13" si="0">IFERROR(F6*I6/G6,"")</f>
        <v/>
      </c>
      <c r="L6" s="32"/>
      <c r="M6" s="32"/>
      <c r="N6" s="32"/>
    </row>
    <row r="7" spans="1:14" ht="26.4" x14ac:dyDescent="0.3">
      <c r="A7" s="32">
        <v>2</v>
      </c>
      <c r="B7" s="32" t="s">
        <v>207</v>
      </c>
      <c r="C7" s="32" t="s">
        <v>210</v>
      </c>
      <c r="D7" s="32"/>
      <c r="E7" s="32" t="s">
        <v>75</v>
      </c>
      <c r="F7" s="30"/>
      <c r="G7" s="30"/>
      <c r="H7" s="32" t="s">
        <v>209</v>
      </c>
      <c r="I7" s="34"/>
      <c r="J7" s="35" t="str">
        <f>IFERROR(K7*Продукт!B7,"")</f>
        <v/>
      </c>
      <c r="K7" s="38" t="str">
        <f t="shared" si="0"/>
        <v/>
      </c>
      <c r="L7" s="32"/>
      <c r="M7" s="32"/>
      <c r="N7" s="32"/>
    </row>
    <row r="8" spans="1:14" ht="26.4" x14ac:dyDescent="0.3">
      <c r="A8" s="32">
        <v>3</v>
      </c>
      <c r="B8" s="32" t="s">
        <v>207</v>
      </c>
      <c r="C8" s="32" t="s">
        <v>211</v>
      </c>
      <c r="D8" s="32"/>
      <c r="E8" s="32" t="s">
        <v>75</v>
      </c>
      <c r="F8" s="30"/>
      <c r="G8" s="30"/>
      <c r="H8" s="32" t="s">
        <v>209</v>
      </c>
      <c r="I8" s="34"/>
      <c r="J8" s="35" t="str">
        <f>IFERROR(K8*Продукт!B7,"")</f>
        <v/>
      </c>
      <c r="K8" s="38" t="str">
        <f t="shared" si="0"/>
        <v/>
      </c>
      <c r="L8" s="32"/>
      <c r="M8" s="32"/>
      <c r="N8" s="32"/>
    </row>
    <row r="9" spans="1:14" ht="26.4" x14ac:dyDescent="0.3">
      <c r="A9" s="32">
        <v>4</v>
      </c>
      <c r="B9" s="32" t="s">
        <v>207</v>
      </c>
      <c r="C9" s="32"/>
      <c r="D9" s="32"/>
      <c r="E9" s="32"/>
      <c r="F9" s="30"/>
      <c r="G9" s="30"/>
      <c r="H9" s="32"/>
      <c r="I9" s="34"/>
      <c r="J9" s="35" t="str">
        <f>IFERROR(K9*Продукт!B7,"")</f>
        <v/>
      </c>
      <c r="K9" s="38" t="str">
        <f t="shared" si="0"/>
        <v/>
      </c>
      <c r="L9" s="32"/>
      <c r="M9" s="32"/>
      <c r="N9" s="32"/>
    </row>
    <row r="10" spans="1:14" ht="26.4" x14ac:dyDescent="0.3">
      <c r="A10" s="32">
        <v>5</v>
      </c>
      <c r="B10" s="32" t="s">
        <v>207</v>
      </c>
      <c r="C10" s="32"/>
      <c r="D10" s="32"/>
      <c r="E10" s="32"/>
      <c r="F10" s="30"/>
      <c r="G10" s="30"/>
      <c r="H10" s="32"/>
      <c r="I10" s="34"/>
      <c r="J10" s="35" t="str">
        <f>IFERROR(K10*Продукт!B7,"")</f>
        <v/>
      </c>
      <c r="K10" s="38" t="str">
        <f t="shared" si="0"/>
        <v/>
      </c>
      <c r="L10" s="32"/>
      <c r="M10" s="32"/>
      <c r="N10" s="32"/>
    </row>
    <row r="11" spans="1:14" ht="26.4" x14ac:dyDescent="0.3">
      <c r="A11" s="32">
        <v>6</v>
      </c>
      <c r="B11" s="32" t="s">
        <v>207</v>
      </c>
      <c r="C11" s="32"/>
      <c r="D11" s="32"/>
      <c r="E11" s="32"/>
      <c r="F11" s="30"/>
      <c r="G11" s="30"/>
      <c r="H11" s="32"/>
      <c r="I11" s="34"/>
      <c r="J11" s="35" t="str">
        <f>IFERROR(K11*Продукт!B7,"")</f>
        <v/>
      </c>
      <c r="K11" s="38" t="str">
        <f t="shared" si="0"/>
        <v/>
      </c>
      <c r="L11" s="32"/>
      <c r="M11" s="32"/>
      <c r="N11" s="32"/>
    </row>
    <row r="12" spans="1:14" ht="26.4" x14ac:dyDescent="0.3">
      <c r="A12" s="32">
        <v>7</v>
      </c>
      <c r="B12" s="32" t="s">
        <v>207</v>
      </c>
      <c r="C12" s="32"/>
      <c r="D12" s="32"/>
      <c r="E12" s="32"/>
      <c r="F12" s="30"/>
      <c r="G12" s="30"/>
      <c r="H12" s="32"/>
      <c r="I12" s="34"/>
      <c r="J12" s="35" t="str">
        <f>IFERROR(K12*Продукт!B7,"")</f>
        <v/>
      </c>
      <c r="K12" s="38" t="str">
        <f t="shared" si="0"/>
        <v/>
      </c>
      <c r="L12" s="32"/>
      <c r="M12" s="32"/>
      <c r="N12" s="32"/>
    </row>
    <row r="13" spans="1:14" ht="26.4" x14ac:dyDescent="0.3">
      <c r="A13" s="32">
        <v>8</v>
      </c>
      <c r="B13" s="32" t="s">
        <v>207</v>
      </c>
      <c r="C13" s="32"/>
      <c r="D13" s="32"/>
      <c r="E13" s="32"/>
      <c r="F13" s="30"/>
      <c r="G13" s="30"/>
      <c r="H13" s="32"/>
      <c r="I13" s="34"/>
      <c r="J13" s="35" t="str">
        <f>IFERROR(K13*Продукт!B7,"")</f>
        <v/>
      </c>
      <c r="K13" s="38" t="str">
        <f t="shared" si="0"/>
        <v/>
      </c>
      <c r="L13" s="32"/>
      <c r="M13" s="32"/>
      <c r="N13" s="32"/>
    </row>
    <row r="14" spans="1:14" x14ac:dyDescent="0.3">
      <c r="A14" s="4" t="s">
        <v>212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39.6" x14ac:dyDescent="0.3">
      <c r="A15" s="32">
        <v>9</v>
      </c>
      <c r="B15" s="32" t="s">
        <v>212</v>
      </c>
      <c r="C15" s="32" t="s">
        <v>213</v>
      </c>
      <c r="D15" s="32"/>
      <c r="E15" s="32" t="s">
        <v>75</v>
      </c>
      <c r="F15" s="30"/>
      <c r="G15" s="30"/>
      <c r="H15" s="32" t="s">
        <v>209</v>
      </c>
      <c r="I15" s="34"/>
      <c r="J15" s="35" t="str">
        <f>IFERROR(K15*Продукт!B7,"")</f>
        <v/>
      </c>
      <c r="K15" s="38" t="str">
        <f t="shared" ref="K15:K22" si="1">IFERROR(F15*I15/G15,"")</f>
        <v/>
      </c>
      <c r="L15" s="32"/>
      <c r="M15" s="32"/>
      <c r="N15" s="32"/>
    </row>
    <row r="16" spans="1:14" ht="39.6" x14ac:dyDescent="0.3">
      <c r="A16" s="32">
        <v>10</v>
      </c>
      <c r="B16" s="32" t="s">
        <v>212</v>
      </c>
      <c r="C16" s="32" t="s">
        <v>214</v>
      </c>
      <c r="D16" s="32"/>
      <c r="E16" s="32" t="s">
        <v>75</v>
      </c>
      <c r="F16" s="30"/>
      <c r="G16" s="30"/>
      <c r="H16" s="32" t="s">
        <v>209</v>
      </c>
      <c r="I16" s="34"/>
      <c r="J16" s="35" t="str">
        <f>IFERROR(K16*Продукт!B7,"")</f>
        <v/>
      </c>
      <c r="K16" s="38" t="str">
        <f t="shared" si="1"/>
        <v/>
      </c>
      <c r="L16" s="32"/>
      <c r="M16" s="32"/>
      <c r="N16" s="32"/>
    </row>
    <row r="17" spans="1:14" ht="39.6" x14ac:dyDescent="0.3">
      <c r="A17" s="32">
        <v>11</v>
      </c>
      <c r="B17" s="32" t="s">
        <v>212</v>
      </c>
      <c r="C17" s="32" t="s">
        <v>215</v>
      </c>
      <c r="D17" s="32"/>
      <c r="E17" s="32" t="s">
        <v>75</v>
      </c>
      <c r="F17" s="30"/>
      <c r="G17" s="30"/>
      <c r="H17" s="32" t="s">
        <v>209</v>
      </c>
      <c r="I17" s="34"/>
      <c r="J17" s="35" t="str">
        <f>IFERROR(K17*Продукт!B7,"")</f>
        <v/>
      </c>
      <c r="K17" s="38" t="str">
        <f t="shared" si="1"/>
        <v/>
      </c>
      <c r="L17" s="32"/>
      <c r="M17" s="32"/>
      <c r="N17" s="32"/>
    </row>
    <row r="18" spans="1:14" ht="39.6" x14ac:dyDescent="0.3">
      <c r="A18" s="32">
        <v>12</v>
      </c>
      <c r="B18" s="32" t="s">
        <v>212</v>
      </c>
      <c r="C18" s="32"/>
      <c r="D18" s="32"/>
      <c r="E18" s="32"/>
      <c r="F18" s="30"/>
      <c r="G18" s="30"/>
      <c r="H18" s="32"/>
      <c r="I18" s="34"/>
      <c r="J18" s="35" t="str">
        <f>IFERROR(K18*Продукт!B7,"")</f>
        <v/>
      </c>
      <c r="K18" s="38" t="str">
        <f t="shared" si="1"/>
        <v/>
      </c>
      <c r="L18" s="32"/>
      <c r="M18" s="32"/>
      <c r="N18" s="32"/>
    </row>
    <row r="19" spans="1:14" ht="39.6" x14ac:dyDescent="0.3">
      <c r="A19" s="32">
        <v>13</v>
      </c>
      <c r="B19" s="32" t="s">
        <v>212</v>
      </c>
      <c r="C19" s="32"/>
      <c r="D19" s="32"/>
      <c r="E19" s="32"/>
      <c r="F19" s="30"/>
      <c r="G19" s="30"/>
      <c r="H19" s="32"/>
      <c r="I19" s="34"/>
      <c r="J19" s="35" t="str">
        <f>IFERROR(K19*Продукт!B7,"")</f>
        <v/>
      </c>
      <c r="K19" s="38" t="str">
        <f t="shared" si="1"/>
        <v/>
      </c>
      <c r="L19" s="32"/>
      <c r="M19" s="32"/>
      <c r="N19" s="32"/>
    </row>
    <row r="20" spans="1:14" ht="39.6" x14ac:dyDescent="0.3">
      <c r="A20" s="32">
        <v>14</v>
      </c>
      <c r="B20" s="32" t="s">
        <v>212</v>
      </c>
      <c r="C20" s="32"/>
      <c r="D20" s="32"/>
      <c r="E20" s="32"/>
      <c r="F20" s="30"/>
      <c r="G20" s="30"/>
      <c r="H20" s="32"/>
      <c r="I20" s="34"/>
      <c r="J20" s="35" t="str">
        <f>IFERROR(K20*Продукт!B7,"")</f>
        <v/>
      </c>
      <c r="K20" s="38" t="str">
        <f t="shared" si="1"/>
        <v/>
      </c>
      <c r="L20" s="32"/>
      <c r="M20" s="32"/>
      <c r="N20" s="32"/>
    </row>
    <row r="21" spans="1:14" ht="39.6" x14ac:dyDescent="0.3">
      <c r="A21" s="32">
        <v>15</v>
      </c>
      <c r="B21" s="32" t="s">
        <v>212</v>
      </c>
      <c r="C21" s="32"/>
      <c r="D21" s="32"/>
      <c r="E21" s="32"/>
      <c r="F21" s="30"/>
      <c r="G21" s="30"/>
      <c r="H21" s="32"/>
      <c r="I21" s="34"/>
      <c r="J21" s="35" t="str">
        <f>IFERROR(K21*Продукт!B7,"")</f>
        <v/>
      </c>
      <c r="K21" s="38" t="str">
        <f t="shared" si="1"/>
        <v/>
      </c>
      <c r="L21" s="32"/>
      <c r="M21" s="32"/>
      <c r="N21" s="32"/>
    </row>
    <row r="22" spans="1:14" ht="39.6" x14ac:dyDescent="0.3">
      <c r="A22" s="32">
        <v>16</v>
      </c>
      <c r="B22" s="32" t="s">
        <v>212</v>
      </c>
      <c r="C22" s="32"/>
      <c r="D22" s="32"/>
      <c r="E22" s="32"/>
      <c r="F22" s="30"/>
      <c r="G22" s="30"/>
      <c r="H22" s="32"/>
      <c r="I22" s="34"/>
      <c r="J22" s="35" t="str">
        <f>IFERROR(K22*Продукт!B7,"")</f>
        <v/>
      </c>
      <c r="K22" s="38" t="str">
        <f t="shared" si="1"/>
        <v/>
      </c>
      <c r="L22" s="32"/>
      <c r="M22" s="32"/>
      <c r="N22" s="32"/>
    </row>
    <row r="23" spans="1:14" x14ac:dyDescent="0.3">
      <c r="A23" s="4" t="s">
        <v>216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39.6" x14ac:dyDescent="0.3">
      <c r="A24" s="32">
        <v>17</v>
      </c>
      <c r="B24" s="32" t="s">
        <v>216</v>
      </c>
      <c r="C24" s="32" t="s">
        <v>217</v>
      </c>
      <c r="D24" s="32"/>
      <c r="E24" s="32" t="s">
        <v>75</v>
      </c>
      <c r="F24" s="30"/>
      <c r="G24" s="30"/>
      <c r="H24" s="32" t="s">
        <v>209</v>
      </c>
      <c r="I24" s="34"/>
      <c r="J24" s="35" t="str">
        <f>IFERROR(K24*Продукт!B7,"")</f>
        <v/>
      </c>
      <c r="K24" s="38" t="str">
        <f t="shared" ref="K24:K29" si="2">IFERROR(F24*I24/G24,"")</f>
        <v/>
      </c>
      <c r="L24" s="32"/>
      <c r="M24" s="32"/>
      <c r="N24" s="32"/>
    </row>
    <row r="25" spans="1:14" ht="39.6" x14ac:dyDescent="0.3">
      <c r="A25" s="32">
        <v>18</v>
      </c>
      <c r="B25" s="32" t="s">
        <v>216</v>
      </c>
      <c r="C25" s="32"/>
      <c r="D25" s="32"/>
      <c r="E25" s="32"/>
      <c r="F25" s="30"/>
      <c r="G25" s="30"/>
      <c r="H25" s="32"/>
      <c r="I25" s="34"/>
      <c r="J25" s="35" t="str">
        <f>IFERROR(K25*Продукт!B7,"")</f>
        <v/>
      </c>
      <c r="K25" s="38" t="str">
        <f t="shared" si="2"/>
        <v/>
      </c>
      <c r="L25" s="32"/>
      <c r="M25" s="32"/>
      <c r="N25" s="32"/>
    </row>
    <row r="26" spans="1:14" ht="39.6" x14ac:dyDescent="0.3">
      <c r="A26" s="32">
        <v>19</v>
      </c>
      <c r="B26" s="32" t="s">
        <v>216</v>
      </c>
      <c r="C26" s="32"/>
      <c r="D26" s="32"/>
      <c r="E26" s="32"/>
      <c r="F26" s="30"/>
      <c r="G26" s="30"/>
      <c r="H26" s="32"/>
      <c r="I26" s="34"/>
      <c r="J26" s="35" t="str">
        <f>IFERROR(K26*Продукт!B7,"")</f>
        <v/>
      </c>
      <c r="K26" s="38" t="str">
        <f t="shared" si="2"/>
        <v/>
      </c>
      <c r="L26" s="32"/>
      <c r="M26" s="32"/>
      <c r="N26" s="32"/>
    </row>
    <row r="27" spans="1:14" ht="39.6" x14ac:dyDescent="0.3">
      <c r="A27" s="32">
        <v>20</v>
      </c>
      <c r="B27" s="32" t="s">
        <v>216</v>
      </c>
      <c r="C27" s="32"/>
      <c r="D27" s="32"/>
      <c r="E27" s="32"/>
      <c r="F27" s="30"/>
      <c r="G27" s="30"/>
      <c r="H27" s="32"/>
      <c r="I27" s="34"/>
      <c r="J27" s="35" t="str">
        <f>IFERROR(K27*Продукт!B7,"")</f>
        <v/>
      </c>
      <c r="K27" s="38" t="str">
        <f t="shared" si="2"/>
        <v/>
      </c>
      <c r="L27" s="32"/>
      <c r="M27" s="32"/>
      <c r="N27" s="32"/>
    </row>
    <row r="28" spans="1:14" ht="39.6" x14ac:dyDescent="0.3">
      <c r="A28" s="32">
        <v>21</v>
      </c>
      <c r="B28" s="32" t="s">
        <v>216</v>
      </c>
      <c r="C28" s="32"/>
      <c r="D28" s="32"/>
      <c r="E28" s="32"/>
      <c r="F28" s="30"/>
      <c r="G28" s="30"/>
      <c r="H28" s="32"/>
      <c r="I28" s="34"/>
      <c r="J28" s="35" t="str">
        <f>IFERROR(K28*Продукт!B7,"")</f>
        <v/>
      </c>
      <c r="K28" s="38" t="str">
        <f t="shared" si="2"/>
        <v/>
      </c>
      <c r="L28" s="32"/>
      <c r="M28" s="32"/>
      <c r="N28" s="32"/>
    </row>
    <row r="29" spans="1:14" ht="39.6" x14ac:dyDescent="0.3">
      <c r="A29" s="32">
        <v>22</v>
      </c>
      <c r="B29" s="32" t="s">
        <v>216</v>
      </c>
      <c r="C29" s="32"/>
      <c r="D29" s="32"/>
      <c r="E29" s="32"/>
      <c r="F29" s="30"/>
      <c r="G29" s="30"/>
      <c r="H29" s="32"/>
      <c r="I29" s="34"/>
      <c r="J29" s="35" t="str">
        <f>IFERROR(K29*Продукт!B7,"")</f>
        <v/>
      </c>
      <c r="K29" s="38" t="str">
        <f t="shared" si="2"/>
        <v/>
      </c>
      <c r="L29" s="32"/>
      <c r="M29" s="32"/>
      <c r="N29" s="32"/>
    </row>
    <row r="30" spans="1:14" x14ac:dyDescent="0.3">
      <c r="A30" s="7" t="s">
        <v>204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x14ac:dyDescent="0.3">
      <c r="A31" s="32">
        <v>23</v>
      </c>
      <c r="B31" s="32"/>
      <c r="C31" s="32"/>
      <c r="D31" s="32"/>
      <c r="E31" s="32"/>
      <c r="F31" s="30"/>
      <c r="G31" s="30"/>
      <c r="H31" s="32"/>
      <c r="I31" s="34"/>
      <c r="J31" s="35" t="str">
        <f>IFERROR(K31*Продукт!B7,"")</f>
        <v/>
      </c>
      <c r="K31" s="38" t="str">
        <f>IFERROR(F31*I31/G31,"")</f>
        <v/>
      </c>
      <c r="L31" s="32"/>
      <c r="M31" s="32"/>
      <c r="N31" s="32"/>
    </row>
    <row r="32" spans="1:14" x14ac:dyDescent="0.3">
      <c r="A32" s="32">
        <v>24</v>
      </c>
      <c r="B32" s="32"/>
      <c r="C32" s="32"/>
      <c r="D32" s="32"/>
      <c r="E32" s="32"/>
      <c r="F32" s="30"/>
      <c r="G32" s="30"/>
      <c r="H32" s="32"/>
      <c r="I32" s="34"/>
      <c r="J32" s="35" t="str">
        <f>IFERROR(K32*Продукт!B7,"")</f>
        <v/>
      </c>
      <c r="K32" s="38" t="str">
        <f>IFERROR(F32*I32/G32,"")</f>
        <v/>
      </c>
      <c r="L32" s="32"/>
      <c r="M32" s="32"/>
      <c r="N32" s="32"/>
    </row>
    <row r="33" spans="1:14" x14ac:dyDescent="0.3">
      <c r="A33" s="32">
        <v>25</v>
      </c>
      <c r="B33" s="32"/>
      <c r="C33" s="32"/>
      <c r="D33" s="32"/>
      <c r="E33" s="32"/>
      <c r="F33" s="30"/>
      <c r="G33" s="30"/>
      <c r="H33" s="32"/>
      <c r="I33" s="34"/>
      <c r="J33" s="35" t="str">
        <f>IFERROR(K33*Продукт!B7,"")</f>
        <v/>
      </c>
      <c r="K33" s="38" t="str">
        <f>IFERROR(F33*I33/G33,"")</f>
        <v/>
      </c>
      <c r="L33" s="32"/>
      <c r="M33" s="32"/>
      <c r="N33" s="32"/>
    </row>
    <row r="34" spans="1:14" x14ac:dyDescent="0.3">
      <c r="A34" s="32">
        <v>26</v>
      </c>
      <c r="B34" s="32"/>
      <c r="C34" s="32"/>
      <c r="D34" s="32"/>
      <c r="E34" s="32"/>
      <c r="F34" s="30"/>
      <c r="G34" s="30"/>
      <c r="H34" s="32"/>
      <c r="I34" s="34"/>
      <c r="J34" s="35" t="str">
        <f>IFERROR(K34*Продукт!B7,"")</f>
        <v/>
      </c>
      <c r="K34" s="38" t="str">
        <f>IFERROR(F34*I34/G34,"")</f>
        <v/>
      </c>
      <c r="L34" s="32"/>
      <c r="M34" s="32"/>
      <c r="N34" s="32"/>
    </row>
    <row r="35" spans="1:14" x14ac:dyDescent="0.3">
      <c r="A35" s="32">
        <v>27</v>
      </c>
      <c r="B35" s="32"/>
      <c r="C35" s="32"/>
      <c r="D35" s="32"/>
      <c r="E35" s="32"/>
      <c r="F35" s="30"/>
      <c r="G35" s="30"/>
      <c r="H35" s="32"/>
      <c r="I35" s="34"/>
      <c r="J35" s="35" t="str">
        <f>IFERROR(K35*Продукт!B7,"")</f>
        <v/>
      </c>
      <c r="K35" s="38" t="str">
        <f>IFERROR(F35*I35/G35,"")</f>
        <v/>
      </c>
      <c r="L35" s="32"/>
      <c r="M35" s="32"/>
      <c r="N35" s="32"/>
    </row>
    <row r="37" spans="1:14" x14ac:dyDescent="0.3">
      <c r="A37" s="6" t="s">
        <v>127</v>
      </c>
      <c r="B37" s="6"/>
      <c r="C37" s="6"/>
      <c r="D37" s="6"/>
      <c r="E37" s="6"/>
      <c r="F37" s="6"/>
      <c r="G37" s="6"/>
      <c r="H37" s="6"/>
      <c r="I37" s="6"/>
      <c r="J37" s="36">
        <f>SUMIF(J5:J35,"&gt;0")</f>
        <v>0</v>
      </c>
      <c r="K37" s="39">
        <f>SUMIF(K5:K35,"&gt;0")</f>
        <v>0</v>
      </c>
      <c r="L37" s="18"/>
      <c r="M37" s="18"/>
      <c r="N37" s="18"/>
    </row>
  </sheetData>
  <mergeCells count="7">
    <mergeCell ref="A30:N30"/>
    <mergeCell ref="A37:I37"/>
    <mergeCell ref="A1:N1"/>
    <mergeCell ref="A2:N2"/>
    <mergeCell ref="A5:N5"/>
    <mergeCell ref="A14:N14"/>
    <mergeCell ref="A23:N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6" sqref="I6:I8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3" customWidth="1"/>
    <col min="7" max="7" width="14" customWidth="1"/>
    <col min="8" max="8" width="13" customWidth="1"/>
    <col min="9" max="9" width="14" customWidth="1"/>
    <col min="10" max="11" width="16" customWidth="1"/>
    <col min="12" max="12" width="20" customWidth="1"/>
    <col min="13" max="13" width="12" customWidth="1"/>
    <col min="14" max="14" width="30" customWidth="1"/>
  </cols>
  <sheetData>
    <row r="1" spans="1:14" ht="27.75" customHeight="1" x14ac:dyDescent="0.4">
      <c r="A1" s="5" t="s">
        <v>218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9" t="s">
        <v>219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45" customHeight="1" x14ac:dyDescent="0.3">
      <c r="A4" s="37" t="s">
        <v>95</v>
      </c>
      <c r="B4" s="37" t="s">
        <v>96</v>
      </c>
      <c r="C4" s="37" t="s">
        <v>97</v>
      </c>
      <c r="D4" s="37" t="s">
        <v>98</v>
      </c>
      <c r="E4" s="37" t="s">
        <v>99</v>
      </c>
      <c r="F4" s="37" t="s">
        <v>188</v>
      </c>
      <c r="G4" s="37" t="s">
        <v>189</v>
      </c>
      <c r="H4" s="37" t="s">
        <v>190</v>
      </c>
      <c r="I4" s="37" t="s">
        <v>103</v>
      </c>
      <c r="J4" s="37" t="s">
        <v>191</v>
      </c>
      <c r="K4" s="37" t="s">
        <v>104</v>
      </c>
      <c r="L4" s="37" t="s">
        <v>106</v>
      </c>
      <c r="M4" s="37" t="s">
        <v>192</v>
      </c>
      <c r="N4" s="37" t="s">
        <v>109</v>
      </c>
    </row>
    <row r="5" spans="1:14" x14ac:dyDescent="0.3">
      <c r="A5" s="4" t="s">
        <v>220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">
      <c r="A6" s="32">
        <v>1</v>
      </c>
      <c r="B6" s="32" t="s">
        <v>220</v>
      </c>
      <c r="C6" s="32" t="s">
        <v>221</v>
      </c>
      <c r="D6" s="32"/>
      <c r="E6" s="32" t="s">
        <v>75</v>
      </c>
      <c r="F6" s="30"/>
      <c r="G6" s="32"/>
      <c r="H6" s="32" t="s">
        <v>195</v>
      </c>
      <c r="I6" s="34"/>
      <c r="J6" s="35">
        <f t="shared" ref="J6:J13" si="0">IFERROR(F6*I6,"")</f>
        <v>0</v>
      </c>
      <c r="K6" s="38">
        <f>IFERROR(J6/Продукт!B7,"")</f>
        <v>0</v>
      </c>
      <c r="L6" s="32"/>
      <c r="M6" s="32"/>
      <c r="N6" s="32"/>
    </row>
    <row r="7" spans="1:14" x14ac:dyDescent="0.3">
      <c r="A7" s="32">
        <v>2</v>
      </c>
      <c r="B7" s="32" t="s">
        <v>220</v>
      </c>
      <c r="C7" s="32" t="s">
        <v>222</v>
      </c>
      <c r="D7" s="32"/>
      <c r="E7" s="32" t="s">
        <v>75</v>
      </c>
      <c r="F7" s="30"/>
      <c r="G7" s="32"/>
      <c r="H7" s="32" t="s">
        <v>195</v>
      </c>
      <c r="I7" s="34"/>
      <c r="J7" s="35">
        <f t="shared" si="0"/>
        <v>0</v>
      </c>
      <c r="K7" s="38">
        <f>IFERROR(J7/Продукт!B7,"")</f>
        <v>0</v>
      </c>
      <c r="L7" s="32"/>
      <c r="M7" s="32"/>
      <c r="N7" s="32"/>
    </row>
    <row r="8" spans="1:14" x14ac:dyDescent="0.3">
      <c r="A8" s="32">
        <v>3</v>
      </c>
      <c r="B8" s="32" t="s">
        <v>220</v>
      </c>
      <c r="C8" s="32" t="s">
        <v>223</v>
      </c>
      <c r="D8" s="32"/>
      <c r="E8" s="32" t="s">
        <v>75</v>
      </c>
      <c r="F8" s="30"/>
      <c r="G8" s="32"/>
      <c r="H8" s="32" t="s">
        <v>195</v>
      </c>
      <c r="I8" s="34"/>
      <c r="J8" s="35">
        <f t="shared" si="0"/>
        <v>0</v>
      </c>
      <c r="K8" s="38">
        <f>IFERROR(J8/Продукт!B7,"")</f>
        <v>0</v>
      </c>
      <c r="L8" s="32"/>
      <c r="M8" s="32"/>
      <c r="N8" s="32"/>
    </row>
    <row r="9" spans="1:14" x14ac:dyDescent="0.3">
      <c r="A9" s="32">
        <v>4</v>
      </c>
      <c r="B9" s="32" t="s">
        <v>220</v>
      </c>
      <c r="C9" s="32"/>
      <c r="D9" s="32"/>
      <c r="E9" s="32"/>
      <c r="F9" s="30"/>
      <c r="G9" s="32"/>
      <c r="H9" s="32"/>
      <c r="I9" s="34"/>
      <c r="J9" s="35">
        <f t="shared" si="0"/>
        <v>0</v>
      </c>
      <c r="K9" s="38">
        <f>IFERROR(J9/Продукт!B7,"")</f>
        <v>0</v>
      </c>
      <c r="L9" s="32"/>
      <c r="M9" s="32"/>
      <c r="N9" s="32"/>
    </row>
    <row r="10" spans="1:14" x14ac:dyDescent="0.3">
      <c r="A10" s="32">
        <v>5</v>
      </c>
      <c r="B10" s="32" t="s">
        <v>220</v>
      </c>
      <c r="C10" s="32"/>
      <c r="D10" s="32"/>
      <c r="E10" s="32"/>
      <c r="F10" s="30"/>
      <c r="G10" s="32"/>
      <c r="H10" s="32"/>
      <c r="I10" s="34"/>
      <c r="J10" s="35">
        <f t="shared" si="0"/>
        <v>0</v>
      </c>
      <c r="K10" s="38">
        <f>IFERROR(J10/Продукт!B7,"")</f>
        <v>0</v>
      </c>
      <c r="L10" s="32"/>
      <c r="M10" s="32"/>
      <c r="N10" s="32"/>
    </row>
    <row r="11" spans="1:14" x14ac:dyDescent="0.3">
      <c r="A11" s="32">
        <v>6</v>
      </c>
      <c r="B11" s="32" t="s">
        <v>220</v>
      </c>
      <c r="C11" s="32"/>
      <c r="D11" s="32"/>
      <c r="E11" s="32"/>
      <c r="F11" s="30"/>
      <c r="G11" s="32"/>
      <c r="H11" s="32"/>
      <c r="I11" s="34"/>
      <c r="J11" s="35">
        <f t="shared" si="0"/>
        <v>0</v>
      </c>
      <c r="K11" s="38">
        <f>IFERROR(J11/Продукт!B7,"")</f>
        <v>0</v>
      </c>
      <c r="L11" s="32"/>
      <c r="M11" s="32"/>
      <c r="N11" s="32"/>
    </row>
    <row r="12" spans="1:14" x14ac:dyDescent="0.3">
      <c r="A12" s="32">
        <v>7</v>
      </c>
      <c r="B12" s="32" t="s">
        <v>220</v>
      </c>
      <c r="C12" s="32"/>
      <c r="D12" s="32"/>
      <c r="E12" s="32"/>
      <c r="F12" s="30"/>
      <c r="G12" s="32"/>
      <c r="H12" s="32"/>
      <c r="I12" s="34"/>
      <c r="J12" s="35">
        <f t="shared" si="0"/>
        <v>0</v>
      </c>
      <c r="K12" s="38">
        <f>IFERROR(J12/Продукт!B7,"")</f>
        <v>0</v>
      </c>
      <c r="L12" s="32"/>
      <c r="M12" s="32"/>
      <c r="N12" s="32"/>
    </row>
    <row r="13" spans="1:14" x14ac:dyDescent="0.3">
      <c r="A13" s="32">
        <v>8</v>
      </c>
      <c r="B13" s="32" t="s">
        <v>220</v>
      </c>
      <c r="C13" s="32"/>
      <c r="D13" s="32"/>
      <c r="E13" s="32"/>
      <c r="F13" s="30"/>
      <c r="G13" s="32"/>
      <c r="H13" s="32"/>
      <c r="I13" s="34"/>
      <c r="J13" s="35">
        <f t="shared" si="0"/>
        <v>0</v>
      </c>
      <c r="K13" s="38">
        <f>IFERROR(J13/Продукт!B7,"")</f>
        <v>0</v>
      </c>
      <c r="L13" s="32"/>
      <c r="M13" s="32"/>
      <c r="N13" s="32"/>
    </row>
    <row r="14" spans="1:14" x14ac:dyDescent="0.3">
      <c r="A14" s="4" t="s">
        <v>224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26.4" x14ac:dyDescent="0.3">
      <c r="A15" s="32">
        <v>9</v>
      </c>
      <c r="B15" s="32" t="s">
        <v>224</v>
      </c>
      <c r="C15" s="32" t="s">
        <v>225</v>
      </c>
      <c r="D15" s="32"/>
      <c r="E15" s="32" t="s">
        <v>75</v>
      </c>
      <c r="F15" s="30"/>
      <c r="G15" s="32"/>
      <c r="H15" s="32" t="s">
        <v>195</v>
      </c>
      <c r="I15" s="34"/>
      <c r="J15" s="35">
        <f t="shared" ref="J15:J22" si="1">IFERROR(F15*I15,"")</f>
        <v>0</v>
      </c>
      <c r="K15" s="38">
        <f>IFERROR(J15/Продукт!B7,"")</f>
        <v>0</v>
      </c>
      <c r="L15" s="32"/>
      <c r="M15" s="32"/>
      <c r="N15" s="32"/>
    </row>
    <row r="16" spans="1:14" ht="26.4" x14ac:dyDescent="0.3">
      <c r="A16" s="32">
        <v>10</v>
      </c>
      <c r="B16" s="32" t="s">
        <v>224</v>
      </c>
      <c r="C16" s="32" t="s">
        <v>226</v>
      </c>
      <c r="D16" s="32"/>
      <c r="E16" s="32" t="s">
        <v>75</v>
      </c>
      <c r="F16" s="30"/>
      <c r="G16" s="32"/>
      <c r="H16" s="32" t="s">
        <v>195</v>
      </c>
      <c r="I16" s="34"/>
      <c r="J16" s="35">
        <f t="shared" si="1"/>
        <v>0</v>
      </c>
      <c r="K16" s="38">
        <f>IFERROR(J16/Продукт!B7,"")</f>
        <v>0</v>
      </c>
      <c r="L16" s="32"/>
      <c r="M16" s="32"/>
      <c r="N16" s="32"/>
    </row>
    <row r="17" spans="1:14" ht="26.4" x14ac:dyDescent="0.3">
      <c r="A17" s="32">
        <v>11</v>
      </c>
      <c r="B17" s="32" t="s">
        <v>224</v>
      </c>
      <c r="C17" s="32" t="s">
        <v>227</v>
      </c>
      <c r="D17" s="32"/>
      <c r="E17" s="32" t="s">
        <v>75</v>
      </c>
      <c r="F17" s="30"/>
      <c r="G17" s="32"/>
      <c r="H17" s="32" t="s">
        <v>195</v>
      </c>
      <c r="I17" s="34"/>
      <c r="J17" s="35">
        <f t="shared" si="1"/>
        <v>0</v>
      </c>
      <c r="K17" s="38">
        <f>IFERROR(J17/Продукт!B7,"")</f>
        <v>0</v>
      </c>
      <c r="L17" s="32"/>
      <c r="M17" s="32"/>
      <c r="N17" s="32"/>
    </row>
    <row r="18" spans="1:14" ht="26.4" x14ac:dyDescent="0.3">
      <c r="A18" s="32">
        <v>12</v>
      </c>
      <c r="B18" s="32" t="s">
        <v>224</v>
      </c>
      <c r="C18" s="32"/>
      <c r="D18" s="32"/>
      <c r="E18" s="32"/>
      <c r="F18" s="30"/>
      <c r="G18" s="32"/>
      <c r="H18" s="32"/>
      <c r="I18" s="34"/>
      <c r="J18" s="35">
        <f t="shared" si="1"/>
        <v>0</v>
      </c>
      <c r="K18" s="38">
        <f>IFERROR(J18/Продукт!B7,"")</f>
        <v>0</v>
      </c>
      <c r="L18" s="32"/>
      <c r="M18" s="32"/>
      <c r="N18" s="32"/>
    </row>
    <row r="19" spans="1:14" ht="26.4" x14ac:dyDescent="0.3">
      <c r="A19" s="32">
        <v>13</v>
      </c>
      <c r="B19" s="32" t="s">
        <v>224</v>
      </c>
      <c r="C19" s="32"/>
      <c r="D19" s="32"/>
      <c r="E19" s="32"/>
      <c r="F19" s="30"/>
      <c r="G19" s="32"/>
      <c r="H19" s="32"/>
      <c r="I19" s="34"/>
      <c r="J19" s="35">
        <f t="shared" si="1"/>
        <v>0</v>
      </c>
      <c r="K19" s="38">
        <f>IFERROR(J19/Продукт!B7,"")</f>
        <v>0</v>
      </c>
      <c r="L19" s="32"/>
      <c r="M19" s="32"/>
      <c r="N19" s="32"/>
    </row>
    <row r="20" spans="1:14" ht="26.4" x14ac:dyDescent="0.3">
      <c r="A20" s="32">
        <v>14</v>
      </c>
      <c r="B20" s="32" t="s">
        <v>224</v>
      </c>
      <c r="C20" s="32"/>
      <c r="D20" s="32"/>
      <c r="E20" s="32"/>
      <c r="F20" s="30"/>
      <c r="G20" s="32"/>
      <c r="H20" s="32"/>
      <c r="I20" s="34"/>
      <c r="J20" s="35">
        <f t="shared" si="1"/>
        <v>0</v>
      </c>
      <c r="K20" s="38">
        <f>IFERROR(J20/Продукт!B7,"")</f>
        <v>0</v>
      </c>
      <c r="L20" s="32"/>
      <c r="M20" s="32"/>
      <c r="N20" s="32"/>
    </row>
    <row r="21" spans="1:14" ht="26.4" x14ac:dyDescent="0.3">
      <c r="A21" s="32">
        <v>15</v>
      </c>
      <c r="B21" s="32" t="s">
        <v>224</v>
      </c>
      <c r="C21" s="32"/>
      <c r="D21" s="32"/>
      <c r="E21" s="32"/>
      <c r="F21" s="30"/>
      <c r="G21" s="32"/>
      <c r="H21" s="32"/>
      <c r="I21" s="34"/>
      <c r="J21" s="35">
        <f t="shared" si="1"/>
        <v>0</v>
      </c>
      <c r="K21" s="38">
        <f>IFERROR(J21/Продукт!B7,"")</f>
        <v>0</v>
      </c>
      <c r="L21" s="32"/>
      <c r="M21" s="32"/>
      <c r="N21" s="32"/>
    </row>
    <row r="22" spans="1:14" ht="26.4" x14ac:dyDescent="0.3">
      <c r="A22" s="32">
        <v>16</v>
      </c>
      <c r="B22" s="32" t="s">
        <v>224</v>
      </c>
      <c r="C22" s="32"/>
      <c r="D22" s="32"/>
      <c r="E22" s="32"/>
      <c r="F22" s="30"/>
      <c r="G22" s="32"/>
      <c r="H22" s="32"/>
      <c r="I22" s="34"/>
      <c r="J22" s="35">
        <f t="shared" si="1"/>
        <v>0</v>
      </c>
      <c r="K22" s="38">
        <f>IFERROR(J22/Продукт!B7,"")</f>
        <v>0</v>
      </c>
      <c r="L22" s="32"/>
      <c r="M22" s="32"/>
      <c r="N22" s="32"/>
    </row>
    <row r="23" spans="1:14" x14ac:dyDescent="0.3">
      <c r="A23" s="4" t="s">
        <v>228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26.4" x14ac:dyDescent="0.3">
      <c r="A24" s="32">
        <v>17</v>
      </c>
      <c r="B24" s="32" t="s">
        <v>228</v>
      </c>
      <c r="C24" s="32" t="s">
        <v>229</v>
      </c>
      <c r="D24" s="32"/>
      <c r="E24" s="32" t="s">
        <v>75</v>
      </c>
      <c r="F24" s="30"/>
      <c r="G24" s="32"/>
      <c r="H24" s="32" t="s">
        <v>195</v>
      </c>
      <c r="I24" s="34"/>
      <c r="J24" s="35">
        <f t="shared" ref="J24:J30" si="2">IFERROR(F24*I24,"")</f>
        <v>0</v>
      </c>
      <c r="K24" s="38">
        <f>IFERROR(J24/Продукт!B7,"")</f>
        <v>0</v>
      </c>
      <c r="L24" s="32"/>
      <c r="M24" s="32"/>
      <c r="N24" s="32"/>
    </row>
    <row r="25" spans="1:14" ht="26.4" x14ac:dyDescent="0.3">
      <c r="A25" s="32">
        <v>18</v>
      </c>
      <c r="B25" s="32" t="s">
        <v>228</v>
      </c>
      <c r="C25" s="32" t="s">
        <v>230</v>
      </c>
      <c r="D25" s="32"/>
      <c r="E25" s="32" t="s">
        <v>75</v>
      </c>
      <c r="F25" s="30"/>
      <c r="G25" s="32"/>
      <c r="H25" s="32" t="s">
        <v>195</v>
      </c>
      <c r="I25" s="34"/>
      <c r="J25" s="35">
        <f t="shared" si="2"/>
        <v>0</v>
      </c>
      <c r="K25" s="38">
        <f>IFERROR(J25/Продукт!B7,"")</f>
        <v>0</v>
      </c>
      <c r="L25" s="32"/>
      <c r="M25" s="32"/>
      <c r="N25" s="32"/>
    </row>
    <row r="26" spans="1:14" ht="26.4" x14ac:dyDescent="0.3">
      <c r="A26" s="32">
        <v>19</v>
      </c>
      <c r="B26" s="32" t="s">
        <v>228</v>
      </c>
      <c r="C26" s="32"/>
      <c r="D26" s="32"/>
      <c r="E26" s="32"/>
      <c r="F26" s="30"/>
      <c r="G26" s="32"/>
      <c r="H26" s="32"/>
      <c r="I26" s="34"/>
      <c r="J26" s="35">
        <f t="shared" si="2"/>
        <v>0</v>
      </c>
      <c r="K26" s="38">
        <f>IFERROR(J26/Продукт!B7,"")</f>
        <v>0</v>
      </c>
      <c r="L26" s="32"/>
      <c r="M26" s="32"/>
      <c r="N26" s="32"/>
    </row>
    <row r="27" spans="1:14" ht="26.4" x14ac:dyDescent="0.3">
      <c r="A27" s="32">
        <v>20</v>
      </c>
      <c r="B27" s="32" t="s">
        <v>228</v>
      </c>
      <c r="C27" s="32"/>
      <c r="D27" s="32"/>
      <c r="E27" s="32"/>
      <c r="F27" s="30"/>
      <c r="G27" s="32"/>
      <c r="H27" s="32"/>
      <c r="I27" s="34"/>
      <c r="J27" s="35">
        <f t="shared" si="2"/>
        <v>0</v>
      </c>
      <c r="K27" s="38">
        <f>IFERROR(J27/Продукт!B7,"")</f>
        <v>0</v>
      </c>
      <c r="L27" s="32"/>
      <c r="M27" s="32"/>
      <c r="N27" s="32"/>
    </row>
    <row r="28" spans="1:14" ht="26.4" x14ac:dyDescent="0.3">
      <c r="A28" s="32">
        <v>21</v>
      </c>
      <c r="B28" s="32" t="s">
        <v>228</v>
      </c>
      <c r="C28" s="32"/>
      <c r="D28" s="32"/>
      <c r="E28" s="32"/>
      <c r="F28" s="30"/>
      <c r="G28" s="32"/>
      <c r="H28" s="32"/>
      <c r="I28" s="34"/>
      <c r="J28" s="35">
        <f t="shared" si="2"/>
        <v>0</v>
      </c>
      <c r="K28" s="38">
        <f>IFERROR(J28/Продукт!B7,"")</f>
        <v>0</v>
      </c>
      <c r="L28" s="32"/>
      <c r="M28" s="32"/>
      <c r="N28" s="32"/>
    </row>
    <row r="29" spans="1:14" ht="26.4" x14ac:dyDescent="0.3">
      <c r="A29" s="32">
        <v>22</v>
      </c>
      <c r="B29" s="32" t="s">
        <v>228</v>
      </c>
      <c r="C29" s="32"/>
      <c r="D29" s="32"/>
      <c r="E29" s="32"/>
      <c r="F29" s="30"/>
      <c r="G29" s="32"/>
      <c r="H29" s="32"/>
      <c r="I29" s="34"/>
      <c r="J29" s="35">
        <f t="shared" si="2"/>
        <v>0</v>
      </c>
      <c r="K29" s="38">
        <f>IFERROR(J29/Продукт!B7,"")</f>
        <v>0</v>
      </c>
      <c r="L29" s="32"/>
      <c r="M29" s="32"/>
      <c r="N29" s="32"/>
    </row>
    <row r="30" spans="1:14" ht="26.4" x14ac:dyDescent="0.3">
      <c r="A30" s="32">
        <v>23</v>
      </c>
      <c r="B30" s="32" t="s">
        <v>228</v>
      </c>
      <c r="C30" s="32"/>
      <c r="D30" s="32"/>
      <c r="E30" s="32"/>
      <c r="F30" s="30"/>
      <c r="G30" s="32"/>
      <c r="H30" s="32"/>
      <c r="I30" s="34"/>
      <c r="J30" s="35">
        <f t="shared" si="2"/>
        <v>0</v>
      </c>
      <c r="K30" s="38">
        <f>IFERROR(J30/Продукт!B7,"")</f>
        <v>0</v>
      </c>
      <c r="L30" s="32"/>
      <c r="M30" s="32"/>
      <c r="N30" s="32"/>
    </row>
    <row r="31" spans="1:14" x14ac:dyDescent="0.3">
      <c r="A31" s="7" t="s">
        <v>204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x14ac:dyDescent="0.3">
      <c r="A32" s="32">
        <v>24</v>
      </c>
      <c r="B32" s="32"/>
      <c r="C32" s="32"/>
      <c r="D32" s="32"/>
      <c r="E32" s="32"/>
      <c r="F32" s="30"/>
      <c r="G32" s="32"/>
      <c r="H32" s="32"/>
      <c r="I32" s="34"/>
      <c r="J32" s="35">
        <f>IFERROR(F32*I32,"")</f>
        <v>0</v>
      </c>
      <c r="K32" s="38">
        <f>IFERROR(J32/Продукт!B7,"")</f>
        <v>0</v>
      </c>
      <c r="L32" s="32"/>
      <c r="M32" s="32"/>
      <c r="N32" s="32"/>
    </row>
    <row r="33" spans="1:14" x14ac:dyDescent="0.3">
      <c r="A33" s="32">
        <v>25</v>
      </c>
      <c r="B33" s="32"/>
      <c r="C33" s="32"/>
      <c r="D33" s="32"/>
      <c r="E33" s="32"/>
      <c r="F33" s="30"/>
      <c r="G33" s="32"/>
      <c r="H33" s="32"/>
      <c r="I33" s="34"/>
      <c r="J33" s="35">
        <f>IFERROR(F33*I33,"")</f>
        <v>0</v>
      </c>
      <c r="K33" s="38">
        <f>IFERROR(J33/Продукт!B7,"")</f>
        <v>0</v>
      </c>
      <c r="L33" s="32"/>
      <c r="M33" s="32"/>
      <c r="N33" s="32"/>
    </row>
    <row r="34" spans="1:14" x14ac:dyDescent="0.3">
      <c r="A34" s="32">
        <v>26</v>
      </c>
      <c r="B34" s="32"/>
      <c r="C34" s="32"/>
      <c r="D34" s="32"/>
      <c r="E34" s="32"/>
      <c r="F34" s="30"/>
      <c r="G34" s="32"/>
      <c r="H34" s="32"/>
      <c r="I34" s="34"/>
      <c r="J34" s="35">
        <f>IFERROR(F34*I34,"")</f>
        <v>0</v>
      </c>
      <c r="K34" s="38">
        <f>IFERROR(J34/Продукт!B7,"")</f>
        <v>0</v>
      </c>
      <c r="L34" s="32"/>
      <c r="M34" s="32"/>
      <c r="N34" s="32"/>
    </row>
    <row r="35" spans="1:14" x14ac:dyDescent="0.3">
      <c r="A35" s="32">
        <v>27</v>
      </c>
      <c r="B35" s="32"/>
      <c r="C35" s="32"/>
      <c r="D35" s="32"/>
      <c r="E35" s="32"/>
      <c r="F35" s="30"/>
      <c r="G35" s="32"/>
      <c r="H35" s="32"/>
      <c r="I35" s="34"/>
      <c r="J35" s="35">
        <f>IFERROR(F35*I35,"")</f>
        <v>0</v>
      </c>
      <c r="K35" s="38">
        <f>IFERROR(J35/Продукт!B7,"")</f>
        <v>0</v>
      </c>
      <c r="L35" s="32"/>
      <c r="M35" s="32"/>
      <c r="N35" s="32"/>
    </row>
    <row r="36" spans="1:14" x14ac:dyDescent="0.3">
      <c r="A36" s="32">
        <v>28</v>
      </c>
      <c r="B36" s="32"/>
      <c r="C36" s="32"/>
      <c r="D36" s="32"/>
      <c r="E36" s="32"/>
      <c r="F36" s="30"/>
      <c r="G36" s="32"/>
      <c r="H36" s="32"/>
      <c r="I36" s="34"/>
      <c r="J36" s="35">
        <f>IFERROR(F36*I36,"")</f>
        <v>0</v>
      </c>
      <c r="K36" s="38">
        <f>IFERROR(J36/Продукт!B7,"")</f>
        <v>0</v>
      </c>
      <c r="L36" s="32"/>
      <c r="M36" s="32"/>
      <c r="N36" s="32"/>
    </row>
    <row r="38" spans="1:14" x14ac:dyDescent="0.3">
      <c r="A38" s="6" t="s">
        <v>127</v>
      </c>
      <c r="B38" s="6"/>
      <c r="C38" s="6"/>
      <c r="D38" s="6"/>
      <c r="E38" s="6"/>
      <c r="F38" s="6"/>
      <c r="G38" s="6"/>
      <c r="H38" s="6"/>
      <c r="I38" s="6"/>
      <c r="J38" s="36">
        <f>SUMIF(J5:J36,"&gt;0")</f>
        <v>0</v>
      </c>
      <c r="K38" s="39">
        <f>SUMIF(K5:K36,"&gt;0")</f>
        <v>0</v>
      </c>
      <c r="L38" s="18"/>
      <c r="M38" s="18"/>
      <c r="N38" s="18"/>
    </row>
  </sheetData>
  <mergeCells count="7">
    <mergeCell ref="A31:N31"/>
    <mergeCell ref="A38:I38"/>
    <mergeCell ref="A1:N1"/>
    <mergeCell ref="A2:N2"/>
    <mergeCell ref="A5:N5"/>
    <mergeCell ref="A14:N14"/>
    <mergeCell ref="A23:N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3" sqref="I1:M1048576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3" customWidth="1"/>
    <col min="7" max="7" width="14" customWidth="1"/>
    <col min="8" max="8" width="13" customWidth="1"/>
    <col min="9" max="9" width="14" customWidth="1"/>
    <col min="10" max="11" width="16" customWidth="1"/>
    <col min="12" max="12" width="20" customWidth="1"/>
    <col min="13" max="13" width="12" customWidth="1"/>
    <col min="14" max="14" width="30" customWidth="1"/>
  </cols>
  <sheetData>
    <row r="1" spans="1:14" ht="27.75" customHeight="1" x14ac:dyDescent="0.4">
      <c r="A1" s="5" t="s">
        <v>231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9" t="s">
        <v>219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45" customHeight="1" x14ac:dyDescent="0.3">
      <c r="A4" s="37" t="s">
        <v>95</v>
      </c>
      <c r="B4" s="37" t="s">
        <v>96</v>
      </c>
      <c r="C4" s="37" t="s">
        <v>97</v>
      </c>
      <c r="D4" s="37" t="s">
        <v>98</v>
      </c>
      <c r="E4" s="37" t="s">
        <v>99</v>
      </c>
      <c r="F4" s="37" t="s">
        <v>188</v>
      </c>
      <c r="G4" s="37" t="s">
        <v>189</v>
      </c>
      <c r="H4" s="37" t="s">
        <v>190</v>
      </c>
      <c r="I4" s="37" t="s">
        <v>103</v>
      </c>
      <c r="J4" s="37" t="s">
        <v>191</v>
      </c>
      <c r="K4" s="37" t="s">
        <v>104</v>
      </c>
      <c r="L4" s="37" t="s">
        <v>106</v>
      </c>
      <c r="M4" s="37" t="s">
        <v>192</v>
      </c>
      <c r="N4" s="37" t="s">
        <v>109</v>
      </c>
    </row>
    <row r="5" spans="1:14" x14ac:dyDescent="0.3">
      <c r="A5" s="4" t="s">
        <v>232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">
      <c r="A6" s="32">
        <v>1</v>
      </c>
      <c r="B6" s="32" t="s">
        <v>232</v>
      </c>
      <c r="C6" s="32" t="s">
        <v>233</v>
      </c>
      <c r="D6" s="32"/>
      <c r="E6" s="32" t="s">
        <v>181</v>
      </c>
      <c r="F6" s="30"/>
      <c r="G6" s="32"/>
      <c r="H6" s="32" t="s">
        <v>195</v>
      </c>
      <c r="I6" s="34"/>
      <c r="J6" s="35">
        <f t="shared" ref="J6:J12" si="0">IFERROR(F6*I6,"")</f>
        <v>0</v>
      </c>
      <c r="K6" s="38">
        <f>IFERROR(J6/Продукт!B7,"")</f>
        <v>0</v>
      </c>
      <c r="L6" s="32"/>
      <c r="M6" s="32"/>
      <c r="N6" s="32"/>
    </row>
    <row r="7" spans="1:14" x14ac:dyDescent="0.3">
      <c r="A7" s="32">
        <v>2</v>
      </c>
      <c r="B7" s="32" t="s">
        <v>232</v>
      </c>
      <c r="C7" s="32" t="s">
        <v>234</v>
      </c>
      <c r="D7" s="32"/>
      <c r="E7" s="32" t="s">
        <v>112</v>
      </c>
      <c r="F7" s="30"/>
      <c r="G7" s="32"/>
      <c r="H7" s="32" t="s">
        <v>195</v>
      </c>
      <c r="I7" s="34"/>
      <c r="J7" s="35">
        <f t="shared" si="0"/>
        <v>0</v>
      </c>
      <c r="K7" s="38">
        <f>IFERROR(J7/Продукт!B7,"")</f>
        <v>0</v>
      </c>
      <c r="L7" s="32"/>
      <c r="M7" s="32"/>
      <c r="N7" s="32"/>
    </row>
    <row r="8" spans="1:14" x14ac:dyDescent="0.3">
      <c r="A8" s="32">
        <v>3</v>
      </c>
      <c r="B8" s="32" t="s">
        <v>232</v>
      </c>
      <c r="C8" s="32"/>
      <c r="D8" s="32"/>
      <c r="E8" s="32"/>
      <c r="F8" s="30"/>
      <c r="G8" s="32"/>
      <c r="H8" s="32"/>
      <c r="I8" s="34"/>
      <c r="J8" s="35">
        <f t="shared" si="0"/>
        <v>0</v>
      </c>
      <c r="K8" s="38">
        <f>IFERROR(J8/Продукт!B7,"")</f>
        <v>0</v>
      </c>
      <c r="L8" s="32"/>
      <c r="M8" s="32"/>
      <c r="N8" s="32"/>
    </row>
    <row r="9" spans="1:14" x14ac:dyDescent="0.3">
      <c r="A9" s="32">
        <v>4</v>
      </c>
      <c r="B9" s="32" t="s">
        <v>232</v>
      </c>
      <c r="C9" s="32"/>
      <c r="D9" s="32"/>
      <c r="E9" s="32"/>
      <c r="F9" s="30"/>
      <c r="G9" s="32"/>
      <c r="H9" s="32"/>
      <c r="I9" s="34"/>
      <c r="J9" s="35">
        <f t="shared" si="0"/>
        <v>0</v>
      </c>
      <c r="K9" s="38">
        <f>IFERROR(J9/Продукт!B7,"")</f>
        <v>0</v>
      </c>
      <c r="L9" s="32"/>
      <c r="M9" s="32"/>
      <c r="N9" s="32"/>
    </row>
    <row r="10" spans="1:14" x14ac:dyDescent="0.3">
      <c r="A10" s="32">
        <v>5</v>
      </c>
      <c r="B10" s="32" t="s">
        <v>232</v>
      </c>
      <c r="C10" s="32"/>
      <c r="D10" s="32"/>
      <c r="E10" s="32"/>
      <c r="F10" s="30"/>
      <c r="G10" s="32"/>
      <c r="H10" s="32"/>
      <c r="I10" s="34"/>
      <c r="J10" s="35">
        <f t="shared" si="0"/>
        <v>0</v>
      </c>
      <c r="K10" s="38">
        <f>IFERROR(J10/Продукт!B7,"")</f>
        <v>0</v>
      </c>
      <c r="L10" s="32"/>
      <c r="M10" s="32"/>
      <c r="N10" s="32"/>
    </row>
    <row r="11" spans="1:14" x14ac:dyDescent="0.3">
      <c r="A11" s="32">
        <v>6</v>
      </c>
      <c r="B11" s="32" t="s">
        <v>232</v>
      </c>
      <c r="C11" s="32"/>
      <c r="D11" s="32"/>
      <c r="E11" s="32"/>
      <c r="F11" s="30"/>
      <c r="G11" s="32"/>
      <c r="H11" s="32"/>
      <c r="I11" s="34"/>
      <c r="J11" s="35">
        <f t="shared" si="0"/>
        <v>0</v>
      </c>
      <c r="K11" s="38">
        <f>IFERROR(J11/Продукт!B7,"")</f>
        <v>0</v>
      </c>
      <c r="L11" s="32"/>
      <c r="M11" s="32"/>
      <c r="N11" s="32"/>
    </row>
    <row r="12" spans="1:14" x14ac:dyDescent="0.3">
      <c r="A12" s="32">
        <v>7</v>
      </c>
      <c r="B12" s="32" t="s">
        <v>232</v>
      </c>
      <c r="C12" s="32"/>
      <c r="D12" s="32"/>
      <c r="E12" s="32"/>
      <c r="F12" s="30"/>
      <c r="G12" s="32"/>
      <c r="H12" s="32"/>
      <c r="I12" s="34"/>
      <c r="J12" s="35">
        <f t="shared" si="0"/>
        <v>0</v>
      </c>
      <c r="K12" s="38">
        <f>IFERROR(J12/Продукт!B7,"")</f>
        <v>0</v>
      </c>
      <c r="L12" s="32"/>
      <c r="M12" s="32"/>
      <c r="N12" s="32"/>
    </row>
    <row r="13" spans="1:14" x14ac:dyDescent="0.3">
      <c r="A13" s="4" t="s">
        <v>235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3">
      <c r="A14" s="32">
        <v>8</v>
      </c>
      <c r="B14" s="32" t="s">
        <v>235</v>
      </c>
      <c r="C14" s="32" t="s">
        <v>236</v>
      </c>
      <c r="D14" s="32"/>
      <c r="E14" s="32" t="s">
        <v>181</v>
      </c>
      <c r="F14" s="30"/>
      <c r="G14" s="32"/>
      <c r="H14" s="32" t="s">
        <v>195</v>
      </c>
      <c r="I14" s="34"/>
      <c r="J14" s="35">
        <f t="shared" ref="J14:J20" si="1">IFERROR(F14*I14,"")</f>
        <v>0</v>
      </c>
      <c r="K14" s="38">
        <f>IFERROR(J14/Продукт!B7,"")</f>
        <v>0</v>
      </c>
      <c r="L14" s="32"/>
      <c r="M14" s="32"/>
      <c r="N14" s="32"/>
    </row>
    <row r="15" spans="1:14" x14ac:dyDescent="0.3">
      <c r="A15" s="32">
        <v>9</v>
      </c>
      <c r="B15" s="32" t="s">
        <v>235</v>
      </c>
      <c r="C15" s="32" t="s">
        <v>237</v>
      </c>
      <c r="D15" s="32"/>
      <c r="E15" s="32" t="s">
        <v>181</v>
      </c>
      <c r="F15" s="30"/>
      <c r="G15" s="32"/>
      <c r="H15" s="32" t="s">
        <v>195</v>
      </c>
      <c r="I15" s="34"/>
      <c r="J15" s="35">
        <f t="shared" si="1"/>
        <v>0</v>
      </c>
      <c r="K15" s="38">
        <f>IFERROR(J15/Продукт!B7,"")</f>
        <v>0</v>
      </c>
      <c r="L15" s="32"/>
      <c r="M15" s="32"/>
      <c r="N15" s="32"/>
    </row>
    <row r="16" spans="1:14" x14ac:dyDescent="0.3">
      <c r="A16" s="32">
        <v>10</v>
      </c>
      <c r="B16" s="32" t="s">
        <v>235</v>
      </c>
      <c r="C16" s="32"/>
      <c r="D16" s="32"/>
      <c r="E16" s="32"/>
      <c r="F16" s="30"/>
      <c r="G16" s="32"/>
      <c r="H16" s="32"/>
      <c r="I16" s="34"/>
      <c r="J16" s="35">
        <f t="shared" si="1"/>
        <v>0</v>
      </c>
      <c r="K16" s="38">
        <f>IFERROR(J16/Продукт!B7,"")</f>
        <v>0</v>
      </c>
      <c r="L16" s="32"/>
      <c r="M16" s="32"/>
      <c r="N16" s="32"/>
    </row>
    <row r="17" spans="1:14" x14ac:dyDescent="0.3">
      <c r="A17" s="32">
        <v>11</v>
      </c>
      <c r="B17" s="32" t="s">
        <v>235</v>
      </c>
      <c r="C17" s="32"/>
      <c r="D17" s="32"/>
      <c r="E17" s="32"/>
      <c r="F17" s="30"/>
      <c r="G17" s="32"/>
      <c r="H17" s="32"/>
      <c r="I17" s="34"/>
      <c r="J17" s="35">
        <f t="shared" si="1"/>
        <v>0</v>
      </c>
      <c r="K17" s="38">
        <f>IFERROR(J17/Продукт!B7,"")</f>
        <v>0</v>
      </c>
      <c r="L17" s="32"/>
      <c r="M17" s="32"/>
      <c r="N17" s="32"/>
    </row>
    <row r="18" spans="1:14" x14ac:dyDescent="0.3">
      <c r="A18" s="32">
        <v>12</v>
      </c>
      <c r="B18" s="32" t="s">
        <v>235</v>
      </c>
      <c r="C18" s="32"/>
      <c r="D18" s="32"/>
      <c r="E18" s="32"/>
      <c r="F18" s="30"/>
      <c r="G18" s="32"/>
      <c r="H18" s="32"/>
      <c r="I18" s="34"/>
      <c r="J18" s="35">
        <f t="shared" si="1"/>
        <v>0</v>
      </c>
      <c r="K18" s="38">
        <f>IFERROR(J18/Продукт!B7,"")</f>
        <v>0</v>
      </c>
      <c r="L18" s="32"/>
      <c r="M18" s="32"/>
      <c r="N18" s="32"/>
    </row>
    <row r="19" spans="1:14" x14ac:dyDescent="0.3">
      <c r="A19" s="32">
        <v>13</v>
      </c>
      <c r="B19" s="32" t="s">
        <v>235</v>
      </c>
      <c r="C19" s="32"/>
      <c r="D19" s="32"/>
      <c r="E19" s="32"/>
      <c r="F19" s="30"/>
      <c r="G19" s="32"/>
      <c r="H19" s="32"/>
      <c r="I19" s="34"/>
      <c r="J19" s="35">
        <f t="shared" si="1"/>
        <v>0</v>
      </c>
      <c r="K19" s="38">
        <f>IFERROR(J19/Продукт!B7,"")</f>
        <v>0</v>
      </c>
      <c r="L19" s="32"/>
      <c r="M19" s="32"/>
      <c r="N19" s="32"/>
    </row>
    <row r="20" spans="1:14" x14ac:dyDescent="0.3">
      <c r="A20" s="32">
        <v>14</v>
      </c>
      <c r="B20" s="32" t="s">
        <v>235</v>
      </c>
      <c r="C20" s="32"/>
      <c r="D20" s="32"/>
      <c r="E20" s="32"/>
      <c r="F20" s="30"/>
      <c r="G20" s="32"/>
      <c r="H20" s="32"/>
      <c r="I20" s="34"/>
      <c r="J20" s="35">
        <f t="shared" si="1"/>
        <v>0</v>
      </c>
      <c r="K20" s="38">
        <f>IFERROR(J20/Продукт!B7,"")</f>
        <v>0</v>
      </c>
      <c r="L20" s="32"/>
      <c r="M20" s="32"/>
      <c r="N20" s="32"/>
    </row>
    <row r="21" spans="1:14" x14ac:dyDescent="0.3">
      <c r="A21" s="4" t="s">
        <v>238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3">
      <c r="A22" s="32">
        <v>15</v>
      </c>
      <c r="B22" s="32" t="s">
        <v>238</v>
      </c>
      <c r="C22" s="32" t="s">
        <v>239</v>
      </c>
      <c r="D22" s="32"/>
      <c r="E22" s="32" t="s">
        <v>75</v>
      </c>
      <c r="F22" s="30"/>
      <c r="G22" s="32"/>
      <c r="H22" s="32" t="s">
        <v>195</v>
      </c>
      <c r="I22" s="34"/>
      <c r="J22" s="35">
        <f t="shared" ref="J22:J29" si="2">IFERROR(F22*I22,"")</f>
        <v>0</v>
      </c>
      <c r="K22" s="38">
        <f>IFERROR(J22/Продукт!B7,"")</f>
        <v>0</v>
      </c>
      <c r="L22" s="32"/>
      <c r="M22" s="32"/>
      <c r="N22" s="32"/>
    </row>
    <row r="23" spans="1:14" x14ac:dyDescent="0.3">
      <c r="A23" s="32">
        <v>16</v>
      </c>
      <c r="B23" s="32" t="s">
        <v>238</v>
      </c>
      <c r="C23" s="32" t="s">
        <v>240</v>
      </c>
      <c r="D23" s="32"/>
      <c r="E23" s="32" t="s">
        <v>75</v>
      </c>
      <c r="F23" s="30"/>
      <c r="G23" s="32"/>
      <c r="H23" s="32" t="s">
        <v>195</v>
      </c>
      <c r="I23" s="34"/>
      <c r="J23" s="35">
        <f t="shared" si="2"/>
        <v>0</v>
      </c>
      <c r="K23" s="38">
        <f>IFERROR(J23/Продукт!B7,"")</f>
        <v>0</v>
      </c>
      <c r="L23" s="32"/>
      <c r="M23" s="32"/>
      <c r="N23" s="32"/>
    </row>
    <row r="24" spans="1:14" x14ac:dyDescent="0.3">
      <c r="A24" s="32">
        <v>17</v>
      </c>
      <c r="B24" s="32" t="s">
        <v>238</v>
      </c>
      <c r="C24" s="32" t="s">
        <v>241</v>
      </c>
      <c r="D24" s="32"/>
      <c r="E24" s="32" t="s">
        <v>112</v>
      </c>
      <c r="F24" s="30"/>
      <c r="G24" s="32"/>
      <c r="H24" s="32" t="s">
        <v>195</v>
      </c>
      <c r="I24" s="34"/>
      <c r="J24" s="35">
        <f t="shared" si="2"/>
        <v>0</v>
      </c>
      <c r="K24" s="38">
        <f>IFERROR(J24/Продукт!B7,"")</f>
        <v>0</v>
      </c>
      <c r="L24" s="32"/>
      <c r="M24" s="32"/>
      <c r="N24" s="32"/>
    </row>
    <row r="25" spans="1:14" x14ac:dyDescent="0.3">
      <c r="A25" s="32">
        <v>18</v>
      </c>
      <c r="B25" s="32" t="s">
        <v>238</v>
      </c>
      <c r="C25" s="32"/>
      <c r="D25" s="32"/>
      <c r="E25" s="32"/>
      <c r="F25" s="30"/>
      <c r="G25" s="32"/>
      <c r="H25" s="32"/>
      <c r="I25" s="34"/>
      <c r="J25" s="35">
        <f t="shared" si="2"/>
        <v>0</v>
      </c>
      <c r="K25" s="38">
        <f>IFERROR(J25/Продукт!B7,"")</f>
        <v>0</v>
      </c>
      <c r="L25" s="32"/>
      <c r="M25" s="32"/>
      <c r="N25" s="32"/>
    </row>
    <row r="26" spans="1:14" x14ac:dyDescent="0.3">
      <c r="A26" s="32">
        <v>19</v>
      </c>
      <c r="B26" s="32" t="s">
        <v>238</v>
      </c>
      <c r="C26" s="32"/>
      <c r="D26" s="32"/>
      <c r="E26" s="32"/>
      <c r="F26" s="30"/>
      <c r="G26" s="32"/>
      <c r="H26" s="32"/>
      <c r="I26" s="34"/>
      <c r="J26" s="35">
        <f t="shared" si="2"/>
        <v>0</v>
      </c>
      <c r="K26" s="38">
        <f>IFERROR(J26/Продукт!B7,"")</f>
        <v>0</v>
      </c>
      <c r="L26" s="32"/>
      <c r="M26" s="32"/>
      <c r="N26" s="32"/>
    </row>
    <row r="27" spans="1:14" x14ac:dyDescent="0.3">
      <c r="A27" s="32">
        <v>20</v>
      </c>
      <c r="B27" s="32" t="s">
        <v>238</v>
      </c>
      <c r="C27" s="32"/>
      <c r="D27" s="32"/>
      <c r="E27" s="32"/>
      <c r="F27" s="30"/>
      <c r="G27" s="32"/>
      <c r="H27" s="32"/>
      <c r="I27" s="34"/>
      <c r="J27" s="35">
        <f t="shared" si="2"/>
        <v>0</v>
      </c>
      <c r="K27" s="38">
        <f>IFERROR(J27/Продукт!B7,"")</f>
        <v>0</v>
      </c>
      <c r="L27" s="32"/>
      <c r="M27" s="32"/>
      <c r="N27" s="32"/>
    </row>
    <row r="28" spans="1:14" x14ac:dyDescent="0.3">
      <c r="A28" s="32">
        <v>21</v>
      </c>
      <c r="B28" s="32" t="s">
        <v>238</v>
      </c>
      <c r="C28" s="32"/>
      <c r="D28" s="32"/>
      <c r="E28" s="32"/>
      <c r="F28" s="30"/>
      <c r="G28" s="32"/>
      <c r="H28" s="32"/>
      <c r="I28" s="34"/>
      <c r="J28" s="35">
        <f t="shared" si="2"/>
        <v>0</v>
      </c>
      <c r="K28" s="38">
        <f>IFERROR(J28/Продукт!B7,"")</f>
        <v>0</v>
      </c>
      <c r="L28" s="32"/>
      <c r="M28" s="32"/>
      <c r="N28" s="32"/>
    </row>
    <row r="29" spans="1:14" x14ac:dyDescent="0.3">
      <c r="A29" s="32">
        <v>22</v>
      </c>
      <c r="B29" s="32" t="s">
        <v>238</v>
      </c>
      <c r="C29" s="32"/>
      <c r="D29" s="32"/>
      <c r="E29" s="32"/>
      <c r="F29" s="30"/>
      <c r="G29" s="32"/>
      <c r="H29" s="32"/>
      <c r="I29" s="34"/>
      <c r="J29" s="35">
        <f t="shared" si="2"/>
        <v>0</v>
      </c>
      <c r="K29" s="38">
        <f>IFERROR(J29/Продукт!B7,"")</f>
        <v>0</v>
      </c>
      <c r="L29" s="32"/>
      <c r="M29" s="32"/>
      <c r="N29" s="32"/>
    </row>
    <row r="30" spans="1:14" x14ac:dyDescent="0.3">
      <c r="A30" s="7" t="s">
        <v>204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x14ac:dyDescent="0.3">
      <c r="A31" s="32">
        <v>23</v>
      </c>
      <c r="B31" s="32"/>
      <c r="C31" s="32"/>
      <c r="D31" s="32"/>
      <c r="E31" s="32"/>
      <c r="F31" s="30"/>
      <c r="G31" s="32"/>
      <c r="H31" s="32"/>
      <c r="I31" s="34"/>
      <c r="J31" s="35">
        <f>IFERROR(F31*I31,"")</f>
        <v>0</v>
      </c>
      <c r="K31" s="38">
        <f>IFERROR(J31/Продукт!B7,"")</f>
        <v>0</v>
      </c>
      <c r="L31" s="32"/>
      <c r="M31" s="32"/>
      <c r="N31" s="32"/>
    </row>
    <row r="32" spans="1:14" x14ac:dyDescent="0.3">
      <c r="A32" s="32">
        <v>24</v>
      </c>
      <c r="B32" s="32"/>
      <c r="C32" s="32"/>
      <c r="D32" s="32"/>
      <c r="E32" s="32"/>
      <c r="F32" s="30"/>
      <c r="G32" s="32"/>
      <c r="H32" s="32"/>
      <c r="I32" s="34"/>
      <c r="J32" s="35">
        <f>IFERROR(F32*I32,"")</f>
        <v>0</v>
      </c>
      <c r="K32" s="38">
        <f>IFERROR(J32/Продукт!B7,"")</f>
        <v>0</v>
      </c>
      <c r="L32" s="32"/>
      <c r="M32" s="32"/>
      <c r="N32" s="32"/>
    </row>
    <row r="33" spans="1:14" x14ac:dyDescent="0.3">
      <c r="A33" s="32">
        <v>25</v>
      </c>
      <c r="B33" s="32"/>
      <c r="C33" s="32"/>
      <c r="D33" s="32"/>
      <c r="E33" s="32"/>
      <c r="F33" s="30"/>
      <c r="G33" s="32"/>
      <c r="H33" s="32"/>
      <c r="I33" s="34"/>
      <c r="J33" s="35">
        <f>IFERROR(F33*I33,"")</f>
        <v>0</v>
      </c>
      <c r="K33" s="38">
        <f>IFERROR(J33/Продукт!B7,"")</f>
        <v>0</v>
      </c>
      <c r="L33" s="32"/>
      <c r="M33" s="32"/>
      <c r="N33" s="32"/>
    </row>
    <row r="34" spans="1:14" x14ac:dyDescent="0.3">
      <c r="A34" s="32">
        <v>26</v>
      </c>
      <c r="B34" s="32"/>
      <c r="C34" s="32"/>
      <c r="D34" s="32"/>
      <c r="E34" s="32"/>
      <c r="F34" s="30"/>
      <c r="G34" s="32"/>
      <c r="H34" s="32"/>
      <c r="I34" s="34"/>
      <c r="J34" s="35">
        <f>IFERROR(F34*I34,"")</f>
        <v>0</v>
      </c>
      <c r="K34" s="38">
        <f>IFERROR(J34/Продукт!B7,"")</f>
        <v>0</v>
      </c>
      <c r="L34" s="32"/>
      <c r="M34" s="32"/>
      <c r="N34" s="32"/>
    </row>
    <row r="35" spans="1:14" x14ac:dyDescent="0.3">
      <c r="A35" s="32">
        <v>27</v>
      </c>
      <c r="B35" s="32"/>
      <c r="C35" s="32"/>
      <c r="D35" s="32"/>
      <c r="E35" s="32"/>
      <c r="F35" s="30"/>
      <c r="G35" s="32"/>
      <c r="H35" s="32"/>
      <c r="I35" s="34"/>
      <c r="J35" s="35">
        <f>IFERROR(F35*I35,"")</f>
        <v>0</v>
      </c>
      <c r="K35" s="38">
        <f>IFERROR(J35/Продукт!B7,"")</f>
        <v>0</v>
      </c>
      <c r="L35" s="32"/>
      <c r="M35" s="32"/>
      <c r="N35" s="32"/>
    </row>
    <row r="37" spans="1:14" x14ac:dyDescent="0.3">
      <c r="A37" s="6" t="s">
        <v>127</v>
      </c>
      <c r="B37" s="6"/>
      <c r="C37" s="6"/>
      <c r="D37" s="6"/>
      <c r="E37" s="6"/>
      <c r="F37" s="6"/>
      <c r="G37" s="6"/>
      <c r="H37" s="6"/>
      <c r="I37" s="6"/>
      <c r="J37" s="36">
        <f>SUMIF(J5:J35,"&gt;0")</f>
        <v>0</v>
      </c>
      <c r="K37" s="39">
        <f>SUMIF(K5:K35,"&gt;0")</f>
        <v>0</v>
      </c>
      <c r="L37" s="18"/>
      <c r="M37" s="18"/>
      <c r="N37" s="18"/>
    </row>
  </sheetData>
  <mergeCells count="7">
    <mergeCell ref="A30:N30"/>
    <mergeCell ref="A37:I37"/>
    <mergeCell ref="A1:N1"/>
    <mergeCell ref="A2:N2"/>
    <mergeCell ref="A5:N5"/>
    <mergeCell ref="A13:N13"/>
    <mergeCell ref="A21:N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N1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3" customWidth="1"/>
    <col min="7" max="7" width="14" customWidth="1"/>
    <col min="8" max="8" width="13" customWidth="1"/>
    <col min="9" max="9" width="14" customWidth="1"/>
    <col min="10" max="11" width="16" customWidth="1"/>
    <col min="12" max="12" width="20" customWidth="1"/>
    <col min="13" max="13" width="12" customWidth="1"/>
    <col min="14" max="14" width="30" customWidth="1"/>
  </cols>
  <sheetData>
    <row r="1" spans="1:14" ht="27.75" customHeight="1" x14ac:dyDescent="0.4">
      <c r="A1" s="5" t="s">
        <v>242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9" t="s">
        <v>219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45" customHeight="1" x14ac:dyDescent="0.3">
      <c r="A4" s="37" t="s">
        <v>95</v>
      </c>
      <c r="B4" s="37" t="s">
        <v>96</v>
      </c>
      <c r="C4" s="37" t="s">
        <v>97</v>
      </c>
      <c r="D4" s="37" t="s">
        <v>98</v>
      </c>
      <c r="E4" s="37" t="s">
        <v>99</v>
      </c>
      <c r="F4" s="37" t="s">
        <v>188</v>
      </c>
      <c r="G4" s="37" t="s">
        <v>189</v>
      </c>
      <c r="H4" s="37" t="s">
        <v>190</v>
      </c>
      <c r="I4" s="37" t="s">
        <v>103</v>
      </c>
      <c r="J4" s="37" t="s">
        <v>191</v>
      </c>
      <c r="K4" s="37" t="s">
        <v>104</v>
      </c>
      <c r="L4" s="37" t="s">
        <v>106</v>
      </c>
      <c r="M4" s="37" t="s">
        <v>192</v>
      </c>
      <c r="N4" s="37" t="s">
        <v>109</v>
      </c>
    </row>
    <row r="5" spans="1:14" x14ac:dyDescent="0.3">
      <c r="A5" s="4" t="s">
        <v>243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26.4" x14ac:dyDescent="0.3">
      <c r="A6" s="32">
        <v>1</v>
      </c>
      <c r="B6" s="32" t="s">
        <v>243</v>
      </c>
      <c r="C6" s="32" t="s">
        <v>244</v>
      </c>
      <c r="D6" s="32"/>
      <c r="E6" s="32" t="s">
        <v>75</v>
      </c>
      <c r="F6" s="30"/>
      <c r="G6" s="32"/>
      <c r="H6" s="32" t="s">
        <v>195</v>
      </c>
      <c r="I6" s="34"/>
      <c r="J6" s="35">
        <f t="shared" ref="J6:J13" si="0">IFERROR(F6*I6,"")</f>
        <v>0</v>
      </c>
      <c r="K6" s="38">
        <f>IFERROR(J6/Продукт!B7,"")</f>
        <v>0</v>
      </c>
      <c r="L6" s="32"/>
      <c r="M6" s="32"/>
      <c r="N6" s="32"/>
    </row>
    <row r="7" spans="1:14" ht="26.4" x14ac:dyDescent="0.3">
      <c r="A7" s="32">
        <v>2</v>
      </c>
      <c r="B7" s="32" t="s">
        <v>243</v>
      </c>
      <c r="C7" s="32" t="s">
        <v>245</v>
      </c>
      <c r="D7" s="32"/>
      <c r="E7" s="32" t="s">
        <v>246</v>
      </c>
      <c r="F7" s="30"/>
      <c r="G7" s="32"/>
      <c r="H7" s="32" t="s">
        <v>195</v>
      </c>
      <c r="I7" s="34"/>
      <c r="J7" s="35">
        <f t="shared" si="0"/>
        <v>0</v>
      </c>
      <c r="K7" s="38">
        <f>IFERROR(J7/Продукт!B7,"")</f>
        <v>0</v>
      </c>
      <c r="L7" s="32"/>
      <c r="M7" s="32"/>
      <c r="N7" s="32"/>
    </row>
    <row r="8" spans="1:14" ht="26.4" x14ac:dyDescent="0.3">
      <c r="A8" s="32">
        <v>3</v>
      </c>
      <c r="B8" s="32" t="s">
        <v>243</v>
      </c>
      <c r="C8" s="32" t="s">
        <v>247</v>
      </c>
      <c r="D8" s="32"/>
      <c r="E8" s="32" t="s">
        <v>121</v>
      </c>
      <c r="F8" s="30"/>
      <c r="G8" s="32"/>
      <c r="H8" s="32" t="s">
        <v>195</v>
      </c>
      <c r="I8" s="34"/>
      <c r="J8" s="35">
        <f t="shared" si="0"/>
        <v>0</v>
      </c>
      <c r="K8" s="38">
        <f>IFERROR(J8/Продукт!B7,"")</f>
        <v>0</v>
      </c>
      <c r="L8" s="32"/>
      <c r="M8" s="32"/>
      <c r="N8" s="32"/>
    </row>
    <row r="9" spans="1:14" ht="26.4" x14ac:dyDescent="0.3">
      <c r="A9" s="32">
        <v>4</v>
      </c>
      <c r="B9" s="32" t="s">
        <v>243</v>
      </c>
      <c r="C9" s="32"/>
      <c r="D9" s="32"/>
      <c r="E9" s="32"/>
      <c r="F9" s="30"/>
      <c r="G9" s="32"/>
      <c r="H9" s="32"/>
      <c r="I9" s="34"/>
      <c r="J9" s="35">
        <f t="shared" si="0"/>
        <v>0</v>
      </c>
      <c r="K9" s="38">
        <f>IFERROR(J9/Продукт!B7,"")</f>
        <v>0</v>
      </c>
      <c r="L9" s="32"/>
      <c r="M9" s="32"/>
      <c r="N9" s="32"/>
    </row>
    <row r="10" spans="1:14" ht="26.4" x14ac:dyDescent="0.3">
      <c r="A10" s="32">
        <v>5</v>
      </c>
      <c r="B10" s="32" t="s">
        <v>243</v>
      </c>
      <c r="C10" s="32"/>
      <c r="D10" s="32"/>
      <c r="E10" s="32"/>
      <c r="F10" s="30"/>
      <c r="G10" s="32"/>
      <c r="H10" s="32"/>
      <c r="I10" s="34"/>
      <c r="J10" s="35">
        <f t="shared" si="0"/>
        <v>0</v>
      </c>
      <c r="K10" s="38">
        <f>IFERROR(J10/Продукт!B7,"")</f>
        <v>0</v>
      </c>
      <c r="L10" s="32"/>
      <c r="M10" s="32"/>
      <c r="N10" s="32"/>
    </row>
    <row r="11" spans="1:14" ht="26.4" x14ac:dyDescent="0.3">
      <c r="A11" s="32">
        <v>6</v>
      </c>
      <c r="B11" s="32" t="s">
        <v>243</v>
      </c>
      <c r="C11" s="32"/>
      <c r="D11" s="32"/>
      <c r="E11" s="32"/>
      <c r="F11" s="30"/>
      <c r="G11" s="32"/>
      <c r="H11" s="32"/>
      <c r="I11" s="34"/>
      <c r="J11" s="35">
        <f t="shared" si="0"/>
        <v>0</v>
      </c>
      <c r="K11" s="38">
        <f>IFERROR(J11/Продукт!B7,"")</f>
        <v>0</v>
      </c>
      <c r="L11" s="32"/>
      <c r="M11" s="32"/>
      <c r="N11" s="32"/>
    </row>
    <row r="12" spans="1:14" ht="26.4" x14ac:dyDescent="0.3">
      <c r="A12" s="32">
        <v>7</v>
      </c>
      <c r="B12" s="32" t="s">
        <v>243</v>
      </c>
      <c r="C12" s="32"/>
      <c r="D12" s="32"/>
      <c r="E12" s="32"/>
      <c r="F12" s="30"/>
      <c r="G12" s="32"/>
      <c r="H12" s="32"/>
      <c r="I12" s="34"/>
      <c r="J12" s="35">
        <f t="shared" si="0"/>
        <v>0</v>
      </c>
      <c r="K12" s="38">
        <f>IFERROR(J12/Продукт!B7,"")</f>
        <v>0</v>
      </c>
      <c r="L12" s="32"/>
      <c r="M12" s="32"/>
      <c r="N12" s="32"/>
    </row>
    <row r="13" spans="1:14" ht="26.4" x14ac:dyDescent="0.3">
      <c r="A13" s="32">
        <v>8</v>
      </c>
      <c r="B13" s="32" t="s">
        <v>243</v>
      </c>
      <c r="C13" s="32"/>
      <c r="D13" s="32"/>
      <c r="E13" s="32"/>
      <c r="F13" s="30"/>
      <c r="G13" s="32"/>
      <c r="H13" s="32"/>
      <c r="I13" s="34"/>
      <c r="J13" s="35">
        <f t="shared" si="0"/>
        <v>0</v>
      </c>
      <c r="K13" s="38">
        <f>IFERROR(J13/Продукт!B7,"")</f>
        <v>0</v>
      </c>
      <c r="L13" s="32"/>
      <c r="M13" s="32"/>
      <c r="N13" s="32"/>
    </row>
    <row r="14" spans="1:14" x14ac:dyDescent="0.3">
      <c r="A14" s="4" t="s">
        <v>248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3">
      <c r="A15" s="32">
        <v>9</v>
      </c>
      <c r="B15" s="32" t="s">
        <v>248</v>
      </c>
      <c r="C15" s="32" t="s">
        <v>249</v>
      </c>
      <c r="D15" s="32"/>
      <c r="E15" s="32" t="s">
        <v>250</v>
      </c>
      <c r="F15" s="30"/>
      <c r="G15" s="32"/>
      <c r="H15" s="32" t="s">
        <v>195</v>
      </c>
      <c r="I15" s="34"/>
      <c r="J15" s="35">
        <f t="shared" ref="J15:J20" si="1">IFERROR(F15*I15,"")</f>
        <v>0</v>
      </c>
      <c r="K15" s="38">
        <f>IFERROR(J15/Продукт!B7,"")</f>
        <v>0</v>
      </c>
      <c r="L15" s="32"/>
      <c r="M15" s="32"/>
      <c r="N15" s="32"/>
    </row>
    <row r="16" spans="1:14" x14ac:dyDescent="0.3">
      <c r="A16" s="32">
        <v>10</v>
      </c>
      <c r="B16" s="32" t="s">
        <v>248</v>
      </c>
      <c r="C16" s="32"/>
      <c r="D16" s="32"/>
      <c r="E16" s="32"/>
      <c r="F16" s="30"/>
      <c r="G16" s="32"/>
      <c r="H16" s="32"/>
      <c r="I16" s="34"/>
      <c r="J16" s="35">
        <f t="shared" si="1"/>
        <v>0</v>
      </c>
      <c r="K16" s="38">
        <f>IFERROR(J16/Продукт!B7,"")</f>
        <v>0</v>
      </c>
      <c r="L16" s="32"/>
      <c r="M16" s="32"/>
      <c r="N16" s="32"/>
    </row>
    <row r="17" spans="1:14" x14ac:dyDescent="0.3">
      <c r="A17" s="32">
        <v>11</v>
      </c>
      <c r="B17" s="32" t="s">
        <v>248</v>
      </c>
      <c r="C17" s="32"/>
      <c r="D17" s="32"/>
      <c r="E17" s="32"/>
      <c r="F17" s="30"/>
      <c r="G17" s="32"/>
      <c r="H17" s="32"/>
      <c r="I17" s="34"/>
      <c r="J17" s="35">
        <f t="shared" si="1"/>
        <v>0</v>
      </c>
      <c r="K17" s="38">
        <f>IFERROR(J17/Продукт!B7,"")</f>
        <v>0</v>
      </c>
      <c r="L17" s="32"/>
      <c r="M17" s="32"/>
      <c r="N17" s="32"/>
    </row>
    <row r="18" spans="1:14" x14ac:dyDescent="0.3">
      <c r="A18" s="32">
        <v>12</v>
      </c>
      <c r="B18" s="32" t="s">
        <v>248</v>
      </c>
      <c r="C18" s="32"/>
      <c r="D18" s="32"/>
      <c r="E18" s="32"/>
      <c r="F18" s="30"/>
      <c r="G18" s="32"/>
      <c r="H18" s="32"/>
      <c r="I18" s="34"/>
      <c r="J18" s="35">
        <f t="shared" si="1"/>
        <v>0</v>
      </c>
      <c r="K18" s="38">
        <f>IFERROR(J18/Продукт!B7,"")</f>
        <v>0</v>
      </c>
      <c r="L18" s="32"/>
      <c r="M18" s="32"/>
      <c r="N18" s="32"/>
    </row>
    <row r="19" spans="1:14" x14ac:dyDescent="0.3">
      <c r="A19" s="32">
        <v>13</v>
      </c>
      <c r="B19" s="32" t="s">
        <v>248</v>
      </c>
      <c r="C19" s="32"/>
      <c r="D19" s="32"/>
      <c r="E19" s="32"/>
      <c r="F19" s="30"/>
      <c r="G19" s="32"/>
      <c r="H19" s="32"/>
      <c r="I19" s="34"/>
      <c r="J19" s="35">
        <f t="shared" si="1"/>
        <v>0</v>
      </c>
      <c r="K19" s="38">
        <f>IFERROR(J19/Продукт!B7,"")</f>
        <v>0</v>
      </c>
      <c r="L19" s="32"/>
      <c r="M19" s="32"/>
      <c r="N19" s="32"/>
    </row>
    <row r="20" spans="1:14" x14ac:dyDescent="0.3">
      <c r="A20" s="32">
        <v>14</v>
      </c>
      <c r="B20" s="32" t="s">
        <v>248</v>
      </c>
      <c r="C20" s="32"/>
      <c r="D20" s="32"/>
      <c r="E20" s="32"/>
      <c r="F20" s="30"/>
      <c r="G20" s="32"/>
      <c r="H20" s="32"/>
      <c r="I20" s="34"/>
      <c r="J20" s="35">
        <f t="shared" si="1"/>
        <v>0</v>
      </c>
      <c r="K20" s="38">
        <f>IFERROR(J20/Продукт!B7,"")</f>
        <v>0</v>
      </c>
      <c r="L20" s="32"/>
      <c r="M20" s="32"/>
      <c r="N20" s="32"/>
    </row>
    <row r="21" spans="1:14" x14ac:dyDescent="0.3">
      <c r="A21" s="4" t="s">
        <v>251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3">
      <c r="A22" s="32">
        <v>15</v>
      </c>
      <c r="B22" s="32" t="s">
        <v>251</v>
      </c>
      <c r="C22" s="32" t="s">
        <v>252</v>
      </c>
      <c r="D22" s="32"/>
      <c r="E22" s="32" t="s">
        <v>181</v>
      </c>
      <c r="F22" s="30"/>
      <c r="G22" s="32"/>
      <c r="H22" s="32" t="s">
        <v>195</v>
      </c>
      <c r="I22" s="34"/>
      <c r="J22" s="35">
        <f t="shared" ref="J22:J28" si="2">IFERROR(F22*I22,"")</f>
        <v>0</v>
      </c>
      <c r="K22" s="38">
        <f>IFERROR(J22/Продукт!B7,"")</f>
        <v>0</v>
      </c>
      <c r="L22" s="32"/>
      <c r="M22" s="32"/>
      <c r="N22" s="32"/>
    </row>
    <row r="23" spans="1:14" x14ac:dyDescent="0.3">
      <c r="A23" s="32">
        <v>16</v>
      </c>
      <c r="B23" s="32" t="s">
        <v>251</v>
      </c>
      <c r="C23" s="32" t="s">
        <v>253</v>
      </c>
      <c r="D23" s="32"/>
      <c r="E23" s="32" t="s">
        <v>181</v>
      </c>
      <c r="F23" s="30"/>
      <c r="G23" s="32"/>
      <c r="H23" s="32" t="s">
        <v>195</v>
      </c>
      <c r="I23" s="34"/>
      <c r="J23" s="35">
        <f t="shared" si="2"/>
        <v>0</v>
      </c>
      <c r="K23" s="38">
        <f>IFERROR(J23/Продукт!B7,"")</f>
        <v>0</v>
      </c>
      <c r="L23" s="32"/>
      <c r="M23" s="32"/>
      <c r="N23" s="32"/>
    </row>
    <row r="24" spans="1:14" x14ac:dyDescent="0.3">
      <c r="A24" s="32">
        <v>17</v>
      </c>
      <c r="B24" s="32" t="s">
        <v>251</v>
      </c>
      <c r="C24" s="32"/>
      <c r="D24" s="32"/>
      <c r="E24" s="32"/>
      <c r="F24" s="30"/>
      <c r="G24" s="32"/>
      <c r="H24" s="32"/>
      <c r="I24" s="34"/>
      <c r="J24" s="35">
        <f t="shared" si="2"/>
        <v>0</v>
      </c>
      <c r="K24" s="38">
        <f>IFERROR(J24/Продукт!B7,"")</f>
        <v>0</v>
      </c>
      <c r="L24" s="32"/>
      <c r="M24" s="32"/>
      <c r="N24" s="32"/>
    </row>
    <row r="25" spans="1:14" x14ac:dyDescent="0.3">
      <c r="A25" s="32">
        <v>18</v>
      </c>
      <c r="B25" s="32" t="s">
        <v>251</v>
      </c>
      <c r="C25" s="32"/>
      <c r="D25" s="32"/>
      <c r="E25" s="32"/>
      <c r="F25" s="30"/>
      <c r="G25" s="32"/>
      <c r="H25" s="32"/>
      <c r="I25" s="34"/>
      <c r="J25" s="35">
        <f t="shared" si="2"/>
        <v>0</v>
      </c>
      <c r="K25" s="38">
        <f>IFERROR(J25/Продукт!B7,"")</f>
        <v>0</v>
      </c>
      <c r="L25" s="32"/>
      <c r="M25" s="32"/>
      <c r="N25" s="32"/>
    </row>
    <row r="26" spans="1:14" x14ac:dyDescent="0.3">
      <c r="A26" s="32">
        <v>19</v>
      </c>
      <c r="B26" s="32" t="s">
        <v>251</v>
      </c>
      <c r="C26" s="32"/>
      <c r="D26" s="32"/>
      <c r="E26" s="32"/>
      <c r="F26" s="30"/>
      <c r="G26" s="32"/>
      <c r="H26" s="32"/>
      <c r="I26" s="34"/>
      <c r="J26" s="35">
        <f t="shared" si="2"/>
        <v>0</v>
      </c>
      <c r="K26" s="38">
        <f>IFERROR(J26/Продукт!B7,"")</f>
        <v>0</v>
      </c>
      <c r="L26" s="32"/>
      <c r="M26" s="32"/>
      <c r="N26" s="32"/>
    </row>
    <row r="27" spans="1:14" x14ac:dyDescent="0.3">
      <c r="A27" s="32">
        <v>20</v>
      </c>
      <c r="B27" s="32" t="s">
        <v>251</v>
      </c>
      <c r="C27" s="32"/>
      <c r="D27" s="32"/>
      <c r="E27" s="32"/>
      <c r="F27" s="30"/>
      <c r="G27" s="32"/>
      <c r="H27" s="32"/>
      <c r="I27" s="34"/>
      <c r="J27" s="35">
        <f t="shared" si="2"/>
        <v>0</v>
      </c>
      <c r="K27" s="38">
        <f>IFERROR(J27/Продукт!B7,"")</f>
        <v>0</v>
      </c>
      <c r="L27" s="32"/>
      <c r="M27" s="32"/>
      <c r="N27" s="32"/>
    </row>
    <row r="28" spans="1:14" x14ac:dyDescent="0.3">
      <c r="A28" s="32">
        <v>21</v>
      </c>
      <c r="B28" s="32" t="s">
        <v>251</v>
      </c>
      <c r="C28" s="32"/>
      <c r="D28" s="32"/>
      <c r="E28" s="32"/>
      <c r="F28" s="30"/>
      <c r="G28" s="32"/>
      <c r="H28" s="32"/>
      <c r="I28" s="34"/>
      <c r="J28" s="35">
        <f t="shared" si="2"/>
        <v>0</v>
      </c>
      <c r="K28" s="38">
        <f>IFERROR(J28/Продукт!B7,"")</f>
        <v>0</v>
      </c>
      <c r="L28" s="32"/>
      <c r="M28" s="32"/>
      <c r="N28" s="32"/>
    </row>
    <row r="29" spans="1:14" x14ac:dyDescent="0.3">
      <c r="A29" s="4" t="s">
        <v>254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3">
      <c r="A30" s="32">
        <v>22</v>
      </c>
      <c r="B30" s="32" t="s">
        <v>254</v>
      </c>
      <c r="C30" s="32" t="s">
        <v>255</v>
      </c>
      <c r="D30" s="32"/>
      <c r="E30" s="32" t="s">
        <v>121</v>
      </c>
      <c r="F30" s="30"/>
      <c r="G30" s="32"/>
      <c r="H30" s="32" t="s">
        <v>195</v>
      </c>
      <c r="I30" s="34"/>
      <c r="J30" s="35">
        <f t="shared" ref="J30:J37" si="3">IFERROR(F30*I30,"")</f>
        <v>0</v>
      </c>
      <c r="K30" s="38">
        <f>IFERROR(J30/Продукт!B7,"")</f>
        <v>0</v>
      </c>
      <c r="L30" s="32"/>
      <c r="M30" s="32"/>
      <c r="N30" s="32"/>
    </row>
    <row r="31" spans="1:14" x14ac:dyDescent="0.3">
      <c r="A31" s="32">
        <v>23</v>
      </c>
      <c r="B31" s="32" t="s">
        <v>254</v>
      </c>
      <c r="C31" s="32" t="s">
        <v>256</v>
      </c>
      <c r="D31" s="32"/>
      <c r="E31" s="32" t="s">
        <v>75</v>
      </c>
      <c r="F31" s="30"/>
      <c r="G31" s="32"/>
      <c r="H31" s="32" t="s">
        <v>195</v>
      </c>
      <c r="I31" s="34"/>
      <c r="J31" s="35">
        <f t="shared" si="3"/>
        <v>0</v>
      </c>
      <c r="K31" s="38">
        <f>IFERROR(J31/Продукт!B7,"")</f>
        <v>0</v>
      </c>
      <c r="L31" s="32"/>
      <c r="M31" s="32"/>
      <c r="N31" s="32"/>
    </row>
    <row r="32" spans="1:14" x14ac:dyDescent="0.3">
      <c r="A32" s="32">
        <v>24</v>
      </c>
      <c r="B32" s="32" t="s">
        <v>254</v>
      </c>
      <c r="C32" s="32" t="s">
        <v>257</v>
      </c>
      <c r="D32" s="32"/>
      <c r="E32" s="32" t="s">
        <v>75</v>
      </c>
      <c r="F32" s="30"/>
      <c r="G32" s="32"/>
      <c r="H32" s="32" t="s">
        <v>195</v>
      </c>
      <c r="I32" s="34"/>
      <c r="J32" s="35">
        <f t="shared" si="3"/>
        <v>0</v>
      </c>
      <c r="K32" s="38">
        <f>IFERROR(J32/Продукт!B7,"")</f>
        <v>0</v>
      </c>
      <c r="L32" s="32"/>
      <c r="M32" s="32"/>
      <c r="N32" s="32"/>
    </row>
    <row r="33" spans="1:14" x14ac:dyDescent="0.3">
      <c r="A33" s="32">
        <v>25</v>
      </c>
      <c r="B33" s="32" t="s">
        <v>254</v>
      </c>
      <c r="C33" s="32"/>
      <c r="D33" s="32"/>
      <c r="E33" s="32"/>
      <c r="F33" s="30"/>
      <c r="G33" s="32"/>
      <c r="H33" s="32"/>
      <c r="I33" s="34"/>
      <c r="J33" s="35">
        <f t="shared" si="3"/>
        <v>0</v>
      </c>
      <c r="K33" s="38">
        <f>IFERROR(J33/Продукт!B7,"")</f>
        <v>0</v>
      </c>
      <c r="L33" s="32"/>
      <c r="M33" s="32"/>
      <c r="N33" s="32"/>
    </row>
    <row r="34" spans="1:14" x14ac:dyDescent="0.3">
      <c r="A34" s="32">
        <v>26</v>
      </c>
      <c r="B34" s="32" t="s">
        <v>254</v>
      </c>
      <c r="C34" s="32"/>
      <c r="D34" s="32"/>
      <c r="E34" s="32"/>
      <c r="F34" s="30"/>
      <c r="G34" s="32"/>
      <c r="H34" s="32"/>
      <c r="I34" s="34"/>
      <c r="J34" s="35">
        <f t="shared" si="3"/>
        <v>0</v>
      </c>
      <c r="K34" s="38">
        <f>IFERROR(J34/Продукт!B7,"")</f>
        <v>0</v>
      </c>
      <c r="L34" s="32"/>
      <c r="M34" s="32"/>
      <c r="N34" s="32"/>
    </row>
    <row r="35" spans="1:14" x14ac:dyDescent="0.3">
      <c r="A35" s="32">
        <v>27</v>
      </c>
      <c r="B35" s="32" t="s">
        <v>254</v>
      </c>
      <c r="C35" s="32"/>
      <c r="D35" s="32"/>
      <c r="E35" s="32"/>
      <c r="F35" s="30"/>
      <c r="G35" s="32"/>
      <c r="H35" s="32"/>
      <c r="I35" s="34"/>
      <c r="J35" s="35">
        <f t="shared" si="3"/>
        <v>0</v>
      </c>
      <c r="K35" s="38">
        <f>IFERROR(J35/Продукт!B7,"")</f>
        <v>0</v>
      </c>
      <c r="L35" s="32"/>
      <c r="M35" s="32"/>
      <c r="N35" s="32"/>
    </row>
    <row r="36" spans="1:14" x14ac:dyDescent="0.3">
      <c r="A36" s="32">
        <v>28</v>
      </c>
      <c r="B36" s="32" t="s">
        <v>254</v>
      </c>
      <c r="C36" s="32"/>
      <c r="D36" s="32"/>
      <c r="E36" s="32"/>
      <c r="F36" s="30"/>
      <c r="G36" s="32"/>
      <c r="H36" s="32"/>
      <c r="I36" s="34"/>
      <c r="J36" s="35">
        <f t="shared" si="3"/>
        <v>0</v>
      </c>
      <c r="K36" s="38">
        <f>IFERROR(J36/Продукт!B7,"")</f>
        <v>0</v>
      </c>
      <c r="L36" s="32"/>
      <c r="M36" s="32"/>
      <c r="N36" s="32"/>
    </row>
    <row r="37" spans="1:14" x14ac:dyDescent="0.3">
      <c r="A37" s="32">
        <v>29</v>
      </c>
      <c r="B37" s="32" t="s">
        <v>254</v>
      </c>
      <c r="C37" s="32"/>
      <c r="D37" s="32"/>
      <c r="E37" s="32"/>
      <c r="F37" s="30"/>
      <c r="G37" s="32"/>
      <c r="H37" s="32"/>
      <c r="I37" s="34"/>
      <c r="J37" s="35">
        <f t="shared" si="3"/>
        <v>0</v>
      </c>
      <c r="K37" s="38">
        <f>IFERROR(J37/Продукт!B7,"")</f>
        <v>0</v>
      </c>
      <c r="L37" s="32"/>
      <c r="M37" s="32"/>
      <c r="N37" s="32"/>
    </row>
    <row r="38" spans="1:14" x14ac:dyDescent="0.3">
      <c r="A38" s="4" t="s">
        <v>258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3">
      <c r="A39" s="32">
        <v>30</v>
      </c>
      <c r="B39" s="32" t="s">
        <v>258</v>
      </c>
      <c r="C39" s="32" t="s">
        <v>259</v>
      </c>
      <c r="D39" s="32"/>
      <c r="E39" s="32" t="s">
        <v>112</v>
      </c>
      <c r="F39" s="30"/>
      <c r="G39" s="32"/>
      <c r="H39" s="32" t="s">
        <v>195</v>
      </c>
      <c r="I39" s="34"/>
      <c r="J39" s="35">
        <f t="shared" ref="J39:J45" si="4">IFERROR(F39*I39,"")</f>
        <v>0</v>
      </c>
      <c r="K39" s="38">
        <f>IFERROR(J39/Продукт!B7,"")</f>
        <v>0</v>
      </c>
      <c r="L39" s="32"/>
      <c r="M39" s="32"/>
      <c r="N39" s="32"/>
    </row>
    <row r="40" spans="1:14" x14ac:dyDescent="0.3">
      <c r="A40" s="32">
        <v>31</v>
      </c>
      <c r="B40" s="32" t="s">
        <v>258</v>
      </c>
      <c r="C40" s="32" t="s">
        <v>260</v>
      </c>
      <c r="D40" s="32"/>
      <c r="E40" s="32" t="s">
        <v>75</v>
      </c>
      <c r="F40" s="30"/>
      <c r="G40" s="32"/>
      <c r="H40" s="32" t="s">
        <v>195</v>
      </c>
      <c r="I40" s="34"/>
      <c r="J40" s="35">
        <f t="shared" si="4"/>
        <v>0</v>
      </c>
      <c r="K40" s="38">
        <f>IFERROR(J40/Продукт!B7,"")</f>
        <v>0</v>
      </c>
      <c r="L40" s="32"/>
      <c r="M40" s="32"/>
      <c r="N40" s="32"/>
    </row>
    <row r="41" spans="1:14" x14ac:dyDescent="0.3">
      <c r="A41" s="32">
        <v>32</v>
      </c>
      <c r="B41" s="32" t="s">
        <v>258</v>
      </c>
      <c r="C41" s="32"/>
      <c r="D41" s="32"/>
      <c r="E41" s="32"/>
      <c r="F41" s="30"/>
      <c r="G41" s="32"/>
      <c r="H41" s="32"/>
      <c r="I41" s="34"/>
      <c r="J41" s="35">
        <f t="shared" si="4"/>
        <v>0</v>
      </c>
      <c r="K41" s="38">
        <f>IFERROR(J41/Продукт!B7,"")</f>
        <v>0</v>
      </c>
      <c r="L41" s="32"/>
      <c r="M41" s="32"/>
      <c r="N41" s="32"/>
    </row>
    <row r="42" spans="1:14" x14ac:dyDescent="0.3">
      <c r="A42" s="32">
        <v>33</v>
      </c>
      <c r="B42" s="32" t="s">
        <v>258</v>
      </c>
      <c r="C42" s="32"/>
      <c r="D42" s="32"/>
      <c r="E42" s="32"/>
      <c r="F42" s="30"/>
      <c r="G42" s="32"/>
      <c r="H42" s="32"/>
      <c r="I42" s="34"/>
      <c r="J42" s="35">
        <f t="shared" si="4"/>
        <v>0</v>
      </c>
      <c r="K42" s="38">
        <f>IFERROR(J42/Продукт!B7,"")</f>
        <v>0</v>
      </c>
      <c r="L42" s="32"/>
      <c r="M42" s="32"/>
      <c r="N42" s="32"/>
    </row>
    <row r="43" spans="1:14" x14ac:dyDescent="0.3">
      <c r="A43" s="32">
        <v>34</v>
      </c>
      <c r="B43" s="32" t="s">
        <v>258</v>
      </c>
      <c r="C43" s="32"/>
      <c r="D43" s="32"/>
      <c r="E43" s="32"/>
      <c r="F43" s="30"/>
      <c r="G43" s="32"/>
      <c r="H43" s="32"/>
      <c r="I43" s="34"/>
      <c r="J43" s="35">
        <f t="shared" si="4"/>
        <v>0</v>
      </c>
      <c r="K43" s="38">
        <f>IFERROR(J43/Продукт!B7,"")</f>
        <v>0</v>
      </c>
      <c r="L43" s="32"/>
      <c r="M43" s="32"/>
      <c r="N43" s="32"/>
    </row>
    <row r="44" spans="1:14" x14ac:dyDescent="0.3">
      <c r="A44" s="32">
        <v>35</v>
      </c>
      <c r="B44" s="32" t="s">
        <v>258</v>
      </c>
      <c r="C44" s="32"/>
      <c r="D44" s="32"/>
      <c r="E44" s="32"/>
      <c r="F44" s="30"/>
      <c r="G44" s="32"/>
      <c r="H44" s="32"/>
      <c r="I44" s="34"/>
      <c r="J44" s="35">
        <f t="shared" si="4"/>
        <v>0</v>
      </c>
      <c r="K44" s="38">
        <f>IFERROR(J44/Продукт!B7,"")</f>
        <v>0</v>
      </c>
      <c r="L44" s="32"/>
      <c r="M44" s="32"/>
      <c r="N44" s="32"/>
    </row>
    <row r="45" spans="1:14" x14ac:dyDescent="0.3">
      <c r="A45" s="32">
        <v>36</v>
      </c>
      <c r="B45" s="32" t="s">
        <v>258</v>
      </c>
      <c r="C45" s="32"/>
      <c r="D45" s="32"/>
      <c r="E45" s="32"/>
      <c r="F45" s="30"/>
      <c r="G45" s="32"/>
      <c r="H45" s="32"/>
      <c r="I45" s="34"/>
      <c r="J45" s="35">
        <f t="shared" si="4"/>
        <v>0</v>
      </c>
      <c r="K45" s="38">
        <f>IFERROR(J45/Продукт!B7,"")</f>
        <v>0</v>
      </c>
      <c r="L45" s="32"/>
      <c r="M45" s="32"/>
      <c r="N45" s="32"/>
    </row>
    <row r="46" spans="1:14" x14ac:dyDescent="0.3">
      <c r="A46" s="4" t="s">
        <v>261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6.4" x14ac:dyDescent="0.3">
      <c r="A47" s="32">
        <v>37</v>
      </c>
      <c r="B47" s="32" t="s">
        <v>261</v>
      </c>
      <c r="C47" s="32" t="s">
        <v>262</v>
      </c>
      <c r="D47" s="32"/>
      <c r="E47" s="32" t="s">
        <v>181</v>
      </c>
      <c r="F47" s="30"/>
      <c r="G47" s="32"/>
      <c r="H47" s="32" t="s">
        <v>195</v>
      </c>
      <c r="I47" s="34"/>
      <c r="J47" s="35">
        <f t="shared" ref="J47:J52" si="5">IFERROR(F47*I47,"")</f>
        <v>0</v>
      </c>
      <c r="K47" s="38">
        <f>IFERROR(J47/Продукт!B7,"")</f>
        <v>0</v>
      </c>
      <c r="L47" s="32"/>
      <c r="M47" s="32"/>
      <c r="N47" s="32"/>
    </row>
    <row r="48" spans="1:14" ht="26.4" x14ac:dyDescent="0.3">
      <c r="A48" s="32">
        <v>38</v>
      </c>
      <c r="B48" s="32" t="s">
        <v>261</v>
      </c>
      <c r="C48" s="32"/>
      <c r="D48" s="32"/>
      <c r="E48" s="32"/>
      <c r="F48" s="30"/>
      <c r="G48" s="32"/>
      <c r="H48" s="32"/>
      <c r="I48" s="34"/>
      <c r="J48" s="35">
        <f t="shared" si="5"/>
        <v>0</v>
      </c>
      <c r="K48" s="38">
        <f>IFERROR(J48/Продукт!B7,"")</f>
        <v>0</v>
      </c>
      <c r="L48" s="32"/>
      <c r="M48" s="32"/>
      <c r="N48" s="32"/>
    </row>
    <row r="49" spans="1:14" ht="26.4" x14ac:dyDescent="0.3">
      <c r="A49" s="32">
        <v>39</v>
      </c>
      <c r="B49" s="32" t="s">
        <v>261</v>
      </c>
      <c r="C49" s="32"/>
      <c r="D49" s="32"/>
      <c r="E49" s="32"/>
      <c r="F49" s="30"/>
      <c r="G49" s="32"/>
      <c r="H49" s="32"/>
      <c r="I49" s="34"/>
      <c r="J49" s="35">
        <f t="shared" si="5"/>
        <v>0</v>
      </c>
      <c r="K49" s="38">
        <f>IFERROR(J49/Продукт!B7,"")</f>
        <v>0</v>
      </c>
      <c r="L49" s="32"/>
      <c r="M49" s="32"/>
      <c r="N49" s="32"/>
    </row>
    <row r="50" spans="1:14" ht="26.4" x14ac:dyDescent="0.3">
      <c r="A50" s="32">
        <v>40</v>
      </c>
      <c r="B50" s="32" t="s">
        <v>261</v>
      </c>
      <c r="C50" s="32"/>
      <c r="D50" s="32"/>
      <c r="E50" s="32"/>
      <c r="F50" s="30"/>
      <c r="G50" s="32"/>
      <c r="H50" s="32"/>
      <c r="I50" s="34"/>
      <c r="J50" s="35">
        <f t="shared" si="5"/>
        <v>0</v>
      </c>
      <c r="K50" s="38">
        <f>IFERROR(J50/Продукт!B7,"")</f>
        <v>0</v>
      </c>
      <c r="L50" s="32"/>
      <c r="M50" s="32"/>
      <c r="N50" s="32"/>
    </row>
    <row r="51" spans="1:14" ht="26.4" x14ac:dyDescent="0.3">
      <c r="A51" s="32">
        <v>41</v>
      </c>
      <c r="B51" s="32" t="s">
        <v>261</v>
      </c>
      <c r="C51" s="32"/>
      <c r="D51" s="32"/>
      <c r="E51" s="32"/>
      <c r="F51" s="30"/>
      <c r="G51" s="32"/>
      <c r="H51" s="32"/>
      <c r="I51" s="34"/>
      <c r="J51" s="35">
        <f t="shared" si="5"/>
        <v>0</v>
      </c>
      <c r="K51" s="38">
        <f>IFERROR(J51/Продукт!B7,"")</f>
        <v>0</v>
      </c>
      <c r="L51" s="32"/>
      <c r="M51" s="32"/>
      <c r="N51" s="32"/>
    </row>
    <row r="52" spans="1:14" ht="26.4" x14ac:dyDescent="0.3">
      <c r="A52" s="32">
        <v>42</v>
      </c>
      <c r="B52" s="32" t="s">
        <v>261</v>
      </c>
      <c r="C52" s="32"/>
      <c r="D52" s="32"/>
      <c r="E52" s="32"/>
      <c r="F52" s="30"/>
      <c r="G52" s="32"/>
      <c r="H52" s="32"/>
      <c r="I52" s="34"/>
      <c r="J52" s="35">
        <f t="shared" si="5"/>
        <v>0</v>
      </c>
      <c r="K52" s="38">
        <f>IFERROR(J52/Продукт!B7,"")</f>
        <v>0</v>
      </c>
      <c r="L52" s="32"/>
      <c r="M52" s="32"/>
      <c r="N52" s="32"/>
    </row>
    <row r="53" spans="1:14" x14ac:dyDescent="0.3">
      <c r="A53" s="7" t="s">
        <v>204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32">
        <v>43</v>
      </c>
      <c r="B54" s="32"/>
      <c r="C54" s="32"/>
      <c r="D54" s="32"/>
      <c r="E54" s="32"/>
      <c r="F54" s="30"/>
      <c r="G54" s="32"/>
      <c r="H54" s="32"/>
      <c r="I54" s="34"/>
      <c r="J54" s="35">
        <f>IFERROR(F54*I54,"")</f>
        <v>0</v>
      </c>
      <c r="K54" s="38">
        <f>IFERROR(J54/Продукт!B7,"")</f>
        <v>0</v>
      </c>
      <c r="L54" s="32"/>
      <c r="M54" s="32"/>
      <c r="N54" s="32"/>
    </row>
    <row r="55" spans="1:14" x14ac:dyDescent="0.3">
      <c r="A55" s="32">
        <v>44</v>
      </c>
      <c r="B55" s="32"/>
      <c r="C55" s="32"/>
      <c r="D55" s="32"/>
      <c r="E55" s="32"/>
      <c r="F55" s="30"/>
      <c r="G55" s="32"/>
      <c r="H55" s="32"/>
      <c r="I55" s="34"/>
      <c r="J55" s="35">
        <f>IFERROR(F55*I55,"")</f>
        <v>0</v>
      </c>
      <c r="K55" s="38">
        <f>IFERROR(J55/Продукт!B7,"")</f>
        <v>0</v>
      </c>
      <c r="L55" s="32"/>
      <c r="M55" s="32"/>
      <c r="N55" s="32"/>
    </row>
    <row r="56" spans="1:14" x14ac:dyDescent="0.3">
      <c r="A56" s="32">
        <v>45</v>
      </c>
      <c r="B56" s="32"/>
      <c r="C56" s="32"/>
      <c r="D56" s="32"/>
      <c r="E56" s="32"/>
      <c r="F56" s="30"/>
      <c r="G56" s="32"/>
      <c r="H56" s="32"/>
      <c r="I56" s="34"/>
      <c r="J56" s="35">
        <f>IFERROR(F56*I56,"")</f>
        <v>0</v>
      </c>
      <c r="K56" s="38">
        <f>IFERROR(J56/Продукт!B7,"")</f>
        <v>0</v>
      </c>
      <c r="L56" s="32"/>
      <c r="M56" s="32"/>
      <c r="N56" s="32"/>
    </row>
    <row r="57" spans="1:14" x14ac:dyDescent="0.3">
      <c r="A57" s="32">
        <v>46</v>
      </c>
      <c r="B57" s="32"/>
      <c r="C57" s="32"/>
      <c r="D57" s="32"/>
      <c r="E57" s="32"/>
      <c r="F57" s="30"/>
      <c r="G57" s="32"/>
      <c r="H57" s="32"/>
      <c r="I57" s="34"/>
      <c r="J57" s="35">
        <f>IFERROR(F57*I57,"")</f>
        <v>0</v>
      </c>
      <c r="K57" s="38">
        <f>IFERROR(J57/Продукт!B7,"")</f>
        <v>0</v>
      </c>
      <c r="L57" s="32"/>
      <c r="M57" s="32"/>
      <c r="N57" s="32"/>
    </row>
    <row r="58" spans="1:14" x14ac:dyDescent="0.3">
      <c r="A58" s="32">
        <v>47</v>
      </c>
      <c r="B58" s="32"/>
      <c r="C58" s="32"/>
      <c r="D58" s="32"/>
      <c r="E58" s="32"/>
      <c r="F58" s="30"/>
      <c r="G58" s="32"/>
      <c r="H58" s="32"/>
      <c r="I58" s="34"/>
      <c r="J58" s="35">
        <f>IFERROR(F58*I58,"")</f>
        <v>0</v>
      </c>
      <c r="K58" s="38">
        <f>IFERROR(J58/Продукт!B7,"")</f>
        <v>0</v>
      </c>
      <c r="L58" s="32"/>
      <c r="M58" s="32"/>
      <c r="N58" s="32"/>
    </row>
    <row r="60" spans="1:14" x14ac:dyDescent="0.3">
      <c r="A60" s="6" t="s">
        <v>127</v>
      </c>
      <c r="B60" s="6"/>
      <c r="C60" s="6"/>
      <c r="D60" s="6"/>
      <c r="E60" s="6"/>
      <c r="F60" s="6"/>
      <c r="G60" s="6"/>
      <c r="H60" s="6"/>
      <c r="I60" s="6"/>
      <c r="J60" s="36">
        <f>SUMIF(J5:J58,"&gt;0")</f>
        <v>0</v>
      </c>
      <c r="K60" s="39">
        <f>SUMIF(K5:K58,"&gt;0")</f>
        <v>0</v>
      </c>
      <c r="L60" s="18"/>
      <c r="M60" s="18"/>
      <c r="N60" s="18"/>
    </row>
  </sheetData>
  <mergeCells count="10">
    <mergeCell ref="A29:N29"/>
    <mergeCell ref="A38:N38"/>
    <mergeCell ref="A46:N46"/>
    <mergeCell ref="A53:N53"/>
    <mergeCell ref="A60:I60"/>
    <mergeCell ref="A1:N1"/>
    <mergeCell ref="A2:N2"/>
    <mergeCell ref="A5:N5"/>
    <mergeCell ref="A14:N14"/>
    <mergeCell ref="A21:N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N1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3" customWidth="1"/>
    <col min="7" max="7" width="14" customWidth="1"/>
    <col min="8" max="8" width="13" customWidth="1"/>
    <col min="9" max="9" width="14" customWidth="1"/>
    <col min="10" max="11" width="16" customWidth="1"/>
    <col min="12" max="12" width="20" customWidth="1"/>
    <col min="13" max="13" width="12" customWidth="1"/>
    <col min="14" max="14" width="30" customWidth="1"/>
  </cols>
  <sheetData>
    <row r="1" spans="1:14" ht="27.75" customHeight="1" x14ac:dyDescent="0.4">
      <c r="A1" s="5" t="s">
        <v>263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9" t="s">
        <v>219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45" customHeight="1" x14ac:dyDescent="0.3">
      <c r="A4" s="37" t="s">
        <v>95</v>
      </c>
      <c r="B4" s="37" t="s">
        <v>96</v>
      </c>
      <c r="C4" s="37" t="s">
        <v>97</v>
      </c>
      <c r="D4" s="37" t="s">
        <v>98</v>
      </c>
      <c r="E4" s="37" t="s">
        <v>99</v>
      </c>
      <c r="F4" s="37" t="s">
        <v>188</v>
      </c>
      <c r="G4" s="37" t="s">
        <v>189</v>
      </c>
      <c r="H4" s="37" t="s">
        <v>190</v>
      </c>
      <c r="I4" s="37" t="s">
        <v>103</v>
      </c>
      <c r="J4" s="37" t="s">
        <v>191</v>
      </c>
      <c r="K4" s="37" t="s">
        <v>104</v>
      </c>
      <c r="L4" s="37" t="s">
        <v>106</v>
      </c>
      <c r="M4" s="37" t="s">
        <v>192</v>
      </c>
      <c r="N4" s="37" t="s">
        <v>109</v>
      </c>
    </row>
    <row r="5" spans="1:14" x14ac:dyDescent="0.3">
      <c r="A5" s="4" t="s">
        <v>264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39.6" x14ac:dyDescent="0.3">
      <c r="A6" s="32">
        <v>1</v>
      </c>
      <c r="B6" s="32" t="s">
        <v>264</v>
      </c>
      <c r="C6" s="32" t="s">
        <v>265</v>
      </c>
      <c r="D6" s="32"/>
      <c r="E6" s="32" t="s">
        <v>266</v>
      </c>
      <c r="F6" s="30"/>
      <c r="G6" s="32"/>
      <c r="H6" s="32" t="s">
        <v>195</v>
      </c>
      <c r="I6" s="34"/>
      <c r="J6" s="35">
        <f t="shared" ref="J6:J14" si="0">IFERROR(F6*I6,"")</f>
        <v>0</v>
      </c>
      <c r="K6" s="38">
        <f>IFERROR(J6/Продукт!B7,"")</f>
        <v>0</v>
      </c>
      <c r="L6" s="32"/>
      <c r="M6" s="32"/>
      <c r="N6" s="32"/>
    </row>
    <row r="7" spans="1:14" ht="39.6" x14ac:dyDescent="0.3">
      <c r="A7" s="32">
        <v>2</v>
      </c>
      <c r="B7" s="32" t="s">
        <v>264</v>
      </c>
      <c r="C7" s="32" t="s">
        <v>267</v>
      </c>
      <c r="D7" s="32"/>
      <c r="E7" s="32" t="s">
        <v>75</v>
      </c>
      <c r="F7" s="30"/>
      <c r="G7" s="32"/>
      <c r="H7" s="32" t="s">
        <v>195</v>
      </c>
      <c r="I7" s="34"/>
      <c r="J7" s="35">
        <f t="shared" si="0"/>
        <v>0</v>
      </c>
      <c r="K7" s="38">
        <f>IFERROR(J7/Продукт!B7,"")</f>
        <v>0</v>
      </c>
      <c r="L7" s="32"/>
      <c r="M7" s="32"/>
      <c r="N7" s="32"/>
    </row>
    <row r="8" spans="1:14" ht="39.6" x14ac:dyDescent="0.3">
      <c r="A8" s="32">
        <v>3</v>
      </c>
      <c r="B8" s="32" t="s">
        <v>264</v>
      </c>
      <c r="C8" s="32" t="s">
        <v>268</v>
      </c>
      <c r="D8" s="32"/>
      <c r="E8" s="32" t="s">
        <v>75</v>
      </c>
      <c r="F8" s="30"/>
      <c r="G8" s="32"/>
      <c r="H8" s="32" t="s">
        <v>195</v>
      </c>
      <c r="I8" s="34"/>
      <c r="J8" s="35">
        <f t="shared" si="0"/>
        <v>0</v>
      </c>
      <c r="K8" s="38">
        <f>IFERROR(J8/Продукт!B7,"")</f>
        <v>0</v>
      </c>
      <c r="L8" s="32"/>
      <c r="M8" s="32"/>
      <c r="N8" s="32"/>
    </row>
    <row r="9" spans="1:14" ht="39.6" x14ac:dyDescent="0.3">
      <c r="A9" s="32">
        <v>4</v>
      </c>
      <c r="B9" s="32" t="s">
        <v>264</v>
      </c>
      <c r="C9" s="32" t="s">
        <v>269</v>
      </c>
      <c r="D9" s="32"/>
      <c r="E9" s="32" t="s">
        <v>266</v>
      </c>
      <c r="F9" s="30"/>
      <c r="G9" s="32"/>
      <c r="H9" s="32" t="s">
        <v>195</v>
      </c>
      <c r="I9" s="34"/>
      <c r="J9" s="35">
        <f t="shared" si="0"/>
        <v>0</v>
      </c>
      <c r="K9" s="38">
        <f>IFERROR(J9/Продукт!B7,"")</f>
        <v>0</v>
      </c>
      <c r="L9" s="32"/>
      <c r="M9" s="32"/>
      <c r="N9" s="32"/>
    </row>
    <row r="10" spans="1:14" ht="39.6" x14ac:dyDescent="0.3">
      <c r="A10" s="32">
        <v>5</v>
      </c>
      <c r="B10" s="32" t="s">
        <v>264</v>
      </c>
      <c r="C10" s="32"/>
      <c r="D10" s="32"/>
      <c r="E10" s="32"/>
      <c r="F10" s="30"/>
      <c r="G10" s="32"/>
      <c r="H10" s="32"/>
      <c r="I10" s="34"/>
      <c r="J10" s="35">
        <f t="shared" si="0"/>
        <v>0</v>
      </c>
      <c r="K10" s="38">
        <f>IFERROR(J10/Продукт!B7,"")</f>
        <v>0</v>
      </c>
      <c r="L10" s="32"/>
      <c r="M10" s="32"/>
      <c r="N10" s="32"/>
    </row>
    <row r="11" spans="1:14" ht="39.6" x14ac:dyDescent="0.3">
      <c r="A11" s="32">
        <v>6</v>
      </c>
      <c r="B11" s="32" t="s">
        <v>264</v>
      </c>
      <c r="C11" s="32"/>
      <c r="D11" s="32"/>
      <c r="E11" s="32"/>
      <c r="F11" s="30"/>
      <c r="G11" s="32"/>
      <c r="H11" s="32"/>
      <c r="I11" s="34"/>
      <c r="J11" s="35">
        <f t="shared" si="0"/>
        <v>0</v>
      </c>
      <c r="K11" s="38">
        <f>IFERROR(J11/Продукт!B7,"")</f>
        <v>0</v>
      </c>
      <c r="L11" s="32"/>
      <c r="M11" s="32"/>
      <c r="N11" s="32"/>
    </row>
    <row r="12" spans="1:14" ht="39.6" x14ac:dyDescent="0.3">
      <c r="A12" s="32">
        <v>7</v>
      </c>
      <c r="B12" s="32" t="s">
        <v>264</v>
      </c>
      <c r="C12" s="32"/>
      <c r="D12" s="32"/>
      <c r="E12" s="32"/>
      <c r="F12" s="30"/>
      <c r="G12" s="32"/>
      <c r="H12" s="32"/>
      <c r="I12" s="34"/>
      <c r="J12" s="35">
        <f t="shared" si="0"/>
        <v>0</v>
      </c>
      <c r="K12" s="38">
        <f>IFERROR(J12/Продукт!B7,"")</f>
        <v>0</v>
      </c>
      <c r="L12" s="32"/>
      <c r="M12" s="32"/>
      <c r="N12" s="32"/>
    </row>
    <row r="13" spans="1:14" ht="39.6" x14ac:dyDescent="0.3">
      <c r="A13" s="32">
        <v>8</v>
      </c>
      <c r="B13" s="32" t="s">
        <v>264</v>
      </c>
      <c r="C13" s="32"/>
      <c r="D13" s="32"/>
      <c r="E13" s="32"/>
      <c r="F13" s="30"/>
      <c r="G13" s="32"/>
      <c r="H13" s="32"/>
      <c r="I13" s="34"/>
      <c r="J13" s="35">
        <f t="shared" si="0"/>
        <v>0</v>
      </c>
      <c r="K13" s="38">
        <f>IFERROR(J13/Продукт!B7,"")</f>
        <v>0</v>
      </c>
      <c r="L13" s="32"/>
      <c r="M13" s="32"/>
      <c r="N13" s="32"/>
    </row>
    <row r="14" spans="1:14" ht="39.6" x14ac:dyDescent="0.3">
      <c r="A14" s="32">
        <v>9</v>
      </c>
      <c r="B14" s="32" t="s">
        <v>264</v>
      </c>
      <c r="C14" s="32"/>
      <c r="D14" s="32"/>
      <c r="E14" s="32"/>
      <c r="F14" s="30"/>
      <c r="G14" s="32"/>
      <c r="H14" s="32"/>
      <c r="I14" s="34"/>
      <c r="J14" s="35">
        <f t="shared" si="0"/>
        <v>0</v>
      </c>
      <c r="K14" s="38">
        <f>IFERROR(J14/Продукт!B7,"")</f>
        <v>0</v>
      </c>
      <c r="L14" s="32"/>
      <c r="M14" s="32"/>
      <c r="N14" s="32"/>
    </row>
    <row r="15" spans="1:14" x14ac:dyDescent="0.3">
      <c r="A15" s="4" t="s">
        <v>270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3">
      <c r="A16" s="32">
        <v>10</v>
      </c>
      <c r="B16" s="32" t="s">
        <v>270</v>
      </c>
      <c r="C16" s="32" t="s">
        <v>271</v>
      </c>
      <c r="D16" s="32"/>
      <c r="E16" s="32" t="s">
        <v>75</v>
      </c>
      <c r="F16" s="30"/>
      <c r="G16" s="32"/>
      <c r="H16" s="32" t="s">
        <v>195</v>
      </c>
      <c r="I16" s="34"/>
      <c r="J16" s="35">
        <f t="shared" ref="J16:J23" si="1">IFERROR(F16*I16,"")</f>
        <v>0</v>
      </c>
      <c r="K16" s="38">
        <f>IFERROR(J16/Продукт!B7,"")</f>
        <v>0</v>
      </c>
      <c r="L16" s="32"/>
      <c r="M16" s="32"/>
      <c r="N16" s="32"/>
    </row>
    <row r="17" spans="1:14" x14ac:dyDescent="0.3">
      <c r="A17" s="32">
        <v>11</v>
      </c>
      <c r="B17" s="32" t="s">
        <v>270</v>
      </c>
      <c r="C17" s="32" t="s">
        <v>272</v>
      </c>
      <c r="D17" s="32"/>
      <c r="E17" s="32" t="s">
        <v>266</v>
      </c>
      <c r="F17" s="30"/>
      <c r="G17" s="32"/>
      <c r="H17" s="32" t="s">
        <v>195</v>
      </c>
      <c r="I17" s="34"/>
      <c r="J17" s="35">
        <f t="shared" si="1"/>
        <v>0</v>
      </c>
      <c r="K17" s="38">
        <f>IFERROR(J17/Продукт!B7,"")</f>
        <v>0</v>
      </c>
      <c r="L17" s="32"/>
      <c r="M17" s="32"/>
      <c r="N17" s="32"/>
    </row>
    <row r="18" spans="1:14" x14ac:dyDescent="0.3">
      <c r="A18" s="32">
        <v>12</v>
      </c>
      <c r="B18" s="32" t="s">
        <v>270</v>
      </c>
      <c r="C18" s="32" t="s">
        <v>273</v>
      </c>
      <c r="D18" s="32"/>
      <c r="E18" s="32" t="s">
        <v>75</v>
      </c>
      <c r="F18" s="30"/>
      <c r="G18" s="32"/>
      <c r="H18" s="32" t="s">
        <v>195</v>
      </c>
      <c r="I18" s="34"/>
      <c r="J18" s="35">
        <f t="shared" si="1"/>
        <v>0</v>
      </c>
      <c r="K18" s="38">
        <f>IFERROR(J18/Продукт!B7,"")</f>
        <v>0</v>
      </c>
      <c r="L18" s="32"/>
      <c r="M18" s="32"/>
      <c r="N18" s="32"/>
    </row>
    <row r="19" spans="1:14" x14ac:dyDescent="0.3">
      <c r="A19" s="32">
        <v>13</v>
      </c>
      <c r="B19" s="32" t="s">
        <v>270</v>
      </c>
      <c r="C19" s="32"/>
      <c r="D19" s="32"/>
      <c r="E19" s="32"/>
      <c r="F19" s="30"/>
      <c r="G19" s="32"/>
      <c r="H19" s="32"/>
      <c r="I19" s="34"/>
      <c r="J19" s="35">
        <f t="shared" si="1"/>
        <v>0</v>
      </c>
      <c r="K19" s="38">
        <f>IFERROR(J19/Продукт!B7,"")</f>
        <v>0</v>
      </c>
      <c r="L19" s="32"/>
      <c r="M19" s="32"/>
      <c r="N19" s="32"/>
    </row>
    <row r="20" spans="1:14" x14ac:dyDescent="0.3">
      <c r="A20" s="32">
        <v>14</v>
      </c>
      <c r="B20" s="32" t="s">
        <v>270</v>
      </c>
      <c r="C20" s="32"/>
      <c r="D20" s="32"/>
      <c r="E20" s="32"/>
      <c r="F20" s="30"/>
      <c r="G20" s="32"/>
      <c r="H20" s="32"/>
      <c r="I20" s="34"/>
      <c r="J20" s="35">
        <f t="shared" si="1"/>
        <v>0</v>
      </c>
      <c r="K20" s="38">
        <f>IFERROR(J20/Продукт!B7,"")</f>
        <v>0</v>
      </c>
      <c r="L20" s="32"/>
      <c r="M20" s="32"/>
      <c r="N20" s="32"/>
    </row>
    <row r="21" spans="1:14" x14ac:dyDescent="0.3">
      <c r="A21" s="32">
        <v>15</v>
      </c>
      <c r="B21" s="32" t="s">
        <v>270</v>
      </c>
      <c r="C21" s="32"/>
      <c r="D21" s="32"/>
      <c r="E21" s="32"/>
      <c r="F21" s="30"/>
      <c r="G21" s="32"/>
      <c r="H21" s="32"/>
      <c r="I21" s="34"/>
      <c r="J21" s="35">
        <f t="shared" si="1"/>
        <v>0</v>
      </c>
      <c r="K21" s="38">
        <f>IFERROR(J21/Продукт!B7,"")</f>
        <v>0</v>
      </c>
      <c r="L21" s="32"/>
      <c r="M21" s="32"/>
      <c r="N21" s="32"/>
    </row>
    <row r="22" spans="1:14" x14ac:dyDescent="0.3">
      <c r="A22" s="32">
        <v>16</v>
      </c>
      <c r="B22" s="32" t="s">
        <v>270</v>
      </c>
      <c r="C22" s="32"/>
      <c r="D22" s="32"/>
      <c r="E22" s="32"/>
      <c r="F22" s="30"/>
      <c r="G22" s="32"/>
      <c r="H22" s="32"/>
      <c r="I22" s="34"/>
      <c r="J22" s="35">
        <f t="shared" si="1"/>
        <v>0</v>
      </c>
      <c r="K22" s="38">
        <f>IFERROR(J22/Продукт!B7,"")</f>
        <v>0</v>
      </c>
      <c r="L22" s="32"/>
      <c r="M22" s="32"/>
      <c r="N22" s="32"/>
    </row>
    <row r="23" spans="1:14" x14ac:dyDescent="0.3">
      <c r="A23" s="32">
        <v>17</v>
      </c>
      <c r="B23" s="32" t="s">
        <v>270</v>
      </c>
      <c r="C23" s="32"/>
      <c r="D23" s="32"/>
      <c r="E23" s="32"/>
      <c r="F23" s="30"/>
      <c r="G23" s="32"/>
      <c r="H23" s="32"/>
      <c r="I23" s="34"/>
      <c r="J23" s="35">
        <f t="shared" si="1"/>
        <v>0</v>
      </c>
      <c r="K23" s="38">
        <f>IFERROR(J23/Продукт!B7,"")</f>
        <v>0</v>
      </c>
      <c r="L23" s="32"/>
      <c r="M23" s="32"/>
      <c r="N23" s="32"/>
    </row>
    <row r="24" spans="1:14" x14ac:dyDescent="0.3">
      <c r="A24" s="4" t="s">
        <v>274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3">
      <c r="A25" s="32">
        <v>18</v>
      </c>
      <c r="B25" s="32" t="s">
        <v>274</v>
      </c>
      <c r="C25" s="32" t="s">
        <v>275</v>
      </c>
      <c r="D25" s="32"/>
      <c r="E25" s="32" t="s">
        <v>181</v>
      </c>
      <c r="F25" s="30"/>
      <c r="G25" s="32"/>
      <c r="H25" s="32" t="s">
        <v>195</v>
      </c>
      <c r="I25" s="34"/>
      <c r="J25" s="35">
        <f t="shared" ref="J25:J32" si="2">IFERROR(F25*I25,"")</f>
        <v>0</v>
      </c>
      <c r="K25" s="38">
        <f>IFERROR(J25/Продукт!B7,"")</f>
        <v>0</v>
      </c>
      <c r="L25" s="32"/>
      <c r="M25" s="32"/>
      <c r="N25" s="32"/>
    </row>
    <row r="26" spans="1:14" x14ac:dyDescent="0.3">
      <c r="A26" s="32">
        <v>19</v>
      </c>
      <c r="B26" s="32" t="s">
        <v>274</v>
      </c>
      <c r="C26" s="32" t="s">
        <v>276</v>
      </c>
      <c r="D26" s="32"/>
      <c r="E26" s="32" t="s">
        <v>181</v>
      </c>
      <c r="F26" s="30"/>
      <c r="G26" s="32"/>
      <c r="H26" s="32" t="s">
        <v>195</v>
      </c>
      <c r="I26" s="34"/>
      <c r="J26" s="35">
        <f t="shared" si="2"/>
        <v>0</v>
      </c>
      <c r="K26" s="38">
        <f>IFERROR(J26/Продукт!B7,"")</f>
        <v>0</v>
      </c>
      <c r="L26" s="32"/>
      <c r="M26" s="32"/>
      <c r="N26" s="32"/>
    </row>
    <row r="27" spans="1:14" x14ac:dyDescent="0.3">
      <c r="A27" s="32">
        <v>20</v>
      </c>
      <c r="B27" s="32" t="s">
        <v>274</v>
      </c>
      <c r="C27" s="32" t="s">
        <v>277</v>
      </c>
      <c r="D27" s="32"/>
      <c r="E27" s="32" t="s">
        <v>75</v>
      </c>
      <c r="F27" s="30"/>
      <c r="G27" s="32"/>
      <c r="H27" s="32" t="s">
        <v>195</v>
      </c>
      <c r="I27" s="34"/>
      <c r="J27" s="35">
        <f t="shared" si="2"/>
        <v>0</v>
      </c>
      <c r="K27" s="38">
        <f>IFERROR(J27/Продукт!B7,"")</f>
        <v>0</v>
      </c>
      <c r="L27" s="32"/>
      <c r="M27" s="32"/>
      <c r="N27" s="32"/>
    </row>
    <row r="28" spans="1:14" x14ac:dyDescent="0.3">
      <c r="A28" s="32">
        <v>21</v>
      </c>
      <c r="B28" s="32" t="s">
        <v>274</v>
      </c>
      <c r="C28" s="32"/>
      <c r="D28" s="32"/>
      <c r="E28" s="32"/>
      <c r="F28" s="30"/>
      <c r="G28" s="32"/>
      <c r="H28" s="32"/>
      <c r="I28" s="34"/>
      <c r="J28" s="35">
        <f t="shared" si="2"/>
        <v>0</v>
      </c>
      <c r="K28" s="38">
        <f>IFERROR(J28/Продукт!B7,"")</f>
        <v>0</v>
      </c>
      <c r="L28" s="32"/>
      <c r="M28" s="32"/>
      <c r="N28" s="32"/>
    </row>
    <row r="29" spans="1:14" x14ac:dyDescent="0.3">
      <c r="A29" s="32">
        <v>22</v>
      </c>
      <c r="B29" s="32" t="s">
        <v>274</v>
      </c>
      <c r="C29" s="32"/>
      <c r="D29" s="32"/>
      <c r="E29" s="32"/>
      <c r="F29" s="30"/>
      <c r="G29" s="32"/>
      <c r="H29" s="32"/>
      <c r="I29" s="34"/>
      <c r="J29" s="35">
        <f t="shared" si="2"/>
        <v>0</v>
      </c>
      <c r="K29" s="38">
        <f>IFERROR(J29/Продукт!B7,"")</f>
        <v>0</v>
      </c>
      <c r="L29" s="32"/>
      <c r="M29" s="32"/>
      <c r="N29" s="32"/>
    </row>
    <row r="30" spans="1:14" x14ac:dyDescent="0.3">
      <c r="A30" s="32">
        <v>23</v>
      </c>
      <c r="B30" s="32" t="s">
        <v>274</v>
      </c>
      <c r="C30" s="32"/>
      <c r="D30" s="32"/>
      <c r="E30" s="32"/>
      <c r="F30" s="30"/>
      <c r="G30" s="32"/>
      <c r="H30" s="32"/>
      <c r="I30" s="34"/>
      <c r="J30" s="35">
        <f t="shared" si="2"/>
        <v>0</v>
      </c>
      <c r="K30" s="38">
        <f>IFERROR(J30/Продукт!B7,"")</f>
        <v>0</v>
      </c>
      <c r="L30" s="32"/>
      <c r="M30" s="32"/>
      <c r="N30" s="32"/>
    </row>
    <row r="31" spans="1:14" x14ac:dyDescent="0.3">
      <c r="A31" s="32">
        <v>24</v>
      </c>
      <c r="B31" s="32" t="s">
        <v>274</v>
      </c>
      <c r="C31" s="32"/>
      <c r="D31" s="32"/>
      <c r="E31" s="32"/>
      <c r="F31" s="30"/>
      <c r="G31" s="32"/>
      <c r="H31" s="32"/>
      <c r="I31" s="34"/>
      <c r="J31" s="35">
        <f t="shared" si="2"/>
        <v>0</v>
      </c>
      <c r="K31" s="38">
        <f>IFERROR(J31/Продукт!B7,"")</f>
        <v>0</v>
      </c>
      <c r="L31" s="32"/>
      <c r="M31" s="32"/>
      <c r="N31" s="32"/>
    </row>
    <row r="32" spans="1:14" x14ac:dyDescent="0.3">
      <c r="A32" s="32">
        <v>25</v>
      </c>
      <c r="B32" s="32" t="s">
        <v>274</v>
      </c>
      <c r="C32" s="32"/>
      <c r="D32" s="32"/>
      <c r="E32" s="32"/>
      <c r="F32" s="30"/>
      <c r="G32" s="32"/>
      <c r="H32" s="32"/>
      <c r="I32" s="34"/>
      <c r="J32" s="35">
        <f t="shared" si="2"/>
        <v>0</v>
      </c>
      <c r="K32" s="38">
        <f>IFERROR(J32/Продукт!B7,"")</f>
        <v>0</v>
      </c>
      <c r="L32" s="32"/>
      <c r="M32" s="32"/>
      <c r="N32" s="32"/>
    </row>
    <row r="33" spans="1:14" x14ac:dyDescent="0.3">
      <c r="A33" s="7" t="s">
        <v>204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x14ac:dyDescent="0.3">
      <c r="A34" s="32">
        <v>26</v>
      </c>
      <c r="B34" s="32"/>
      <c r="C34" s="32"/>
      <c r="D34" s="32"/>
      <c r="E34" s="32"/>
      <c r="F34" s="30"/>
      <c r="G34" s="32"/>
      <c r="H34" s="32"/>
      <c r="I34" s="34"/>
      <c r="J34" s="35">
        <f>IFERROR(F34*I34,"")</f>
        <v>0</v>
      </c>
      <c r="K34" s="38">
        <f>IFERROR(J34/Продукт!B7,"")</f>
        <v>0</v>
      </c>
      <c r="L34" s="32"/>
      <c r="M34" s="32"/>
      <c r="N34" s="32"/>
    </row>
    <row r="35" spans="1:14" x14ac:dyDescent="0.3">
      <c r="A35" s="32">
        <v>27</v>
      </c>
      <c r="B35" s="32"/>
      <c r="C35" s="32"/>
      <c r="D35" s="32"/>
      <c r="E35" s="32"/>
      <c r="F35" s="30"/>
      <c r="G35" s="32"/>
      <c r="H35" s="32"/>
      <c r="I35" s="34"/>
      <c r="J35" s="35">
        <f>IFERROR(F35*I35,"")</f>
        <v>0</v>
      </c>
      <c r="K35" s="38">
        <f>IFERROR(J35/Продукт!B7,"")</f>
        <v>0</v>
      </c>
      <c r="L35" s="32"/>
      <c r="M35" s="32"/>
      <c r="N35" s="32"/>
    </row>
    <row r="36" spans="1:14" x14ac:dyDescent="0.3">
      <c r="A36" s="32">
        <v>28</v>
      </c>
      <c r="B36" s="32"/>
      <c r="C36" s="32"/>
      <c r="D36" s="32"/>
      <c r="E36" s="32"/>
      <c r="F36" s="30"/>
      <c r="G36" s="32"/>
      <c r="H36" s="32"/>
      <c r="I36" s="34"/>
      <c r="J36" s="35">
        <f>IFERROR(F36*I36,"")</f>
        <v>0</v>
      </c>
      <c r="K36" s="38">
        <f>IFERROR(J36/Продукт!B7,"")</f>
        <v>0</v>
      </c>
      <c r="L36" s="32"/>
      <c r="M36" s="32"/>
      <c r="N36" s="32"/>
    </row>
    <row r="37" spans="1:14" x14ac:dyDescent="0.3">
      <c r="A37" s="32">
        <v>29</v>
      </c>
      <c r="B37" s="32"/>
      <c r="C37" s="32"/>
      <c r="D37" s="32"/>
      <c r="E37" s="32"/>
      <c r="F37" s="30"/>
      <c r="G37" s="32"/>
      <c r="H37" s="32"/>
      <c r="I37" s="34"/>
      <c r="J37" s="35">
        <f>IFERROR(F37*I37,"")</f>
        <v>0</v>
      </c>
      <c r="K37" s="38">
        <f>IFERROR(J37/Продукт!B7,"")</f>
        <v>0</v>
      </c>
      <c r="L37" s="32"/>
      <c r="M37" s="32"/>
      <c r="N37" s="32"/>
    </row>
    <row r="38" spans="1:14" x14ac:dyDescent="0.3">
      <c r="A38" s="32">
        <v>30</v>
      </c>
      <c r="B38" s="32"/>
      <c r="C38" s="32"/>
      <c r="D38" s="32"/>
      <c r="E38" s="32"/>
      <c r="F38" s="30"/>
      <c r="G38" s="32"/>
      <c r="H38" s="32"/>
      <c r="I38" s="34"/>
      <c r="J38" s="35">
        <f>IFERROR(F38*I38,"")</f>
        <v>0</v>
      </c>
      <c r="K38" s="38">
        <f>IFERROR(J38/Продукт!B7,"")</f>
        <v>0</v>
      </c>
      <c r="L38" s="32"/>
      <c r="M38" s="32"/>
      <c r="N38" s="32"/>
    </row>
    <row r="40" spans="1:14" x14ac:dyDescent="0.3">
      <c r="A40" s="6" t="s">
        <v>127</v>
      </c>
      <c r="B40" s="6"/>
      <c r="C40" s="6"/>
      <c r="D40" s="6"/>
      <c r="E40" s="6"/>
      <c r="F40" s="6"/>
      <c r="G40" s="6"/>
      <c r="H40" s="6"/>
      <c r="I40" s="6"/>
      <c r="J40" s="36">
        <f>SUMIF(J5:J38,"&gt;0")</f>
        <v>0</v>
      </c>
      <c r="K40" s="39">
        <f>SUMIF(K5:K38,"&gt;0")</f>
        <v>0</v>
      </c>
      <c r="L40" s="18"/>
      <c r="M40" s="18"/>
      <c r="N40" s="18"/>
    </row>
  </sheetData>
  <mergeCells count="7">
    <mergeCell ref="A33:N33"/>
    <mergeCell ref="A40:I40"/>
    <mergeCell ref="A1:N1"/>
    <mergeCell ref="A2:N2"/>
    <mergeCell ref="A5:N5"/>
    <mergeCell ref="A15:N15"/>
    <mergeCell ref="A24:N24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7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N1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3" customWidth="1"/>
    <col min="7" max="7" width="14" customWidth="1"/>
    <col min="8" max="8" width="13" customWidth="1"/>
    <col min="9" max="9" width="14" customWidth="1"/>
    <col min="10" max="11" width="16" customWidth="1"/>
    <col min="12" max="12" width="20" customWidth="1"/>
    <col min="13" max="13" width="12" customWidth="1"/>
    <col min="14" max="14" width="30" customWidth="1"/>
  </cols>
  <sheetData>
    <row r="1" spans="1:14" ht="27.75" customHeight="1" x14ac:dyDescent="0.4">
      <c r="A1" s="5" t="s">
        <v>278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9" t="s">
        <v>219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45" customHeight="1" x14ac:dyDescent="0.3">
      <c r="A4" s="37" t="s">
        <v>95</v>
      </c>
      <c r="B4" s="37" t="s">
        <v>96</v>
      </c>
      <c r="C4" s="37" t="s">
        <v>97</v>
      </c>
      <c r="D4" s="37" t="s">
        <v>98</v>
      </c>
      <c r="E4" s="37" t="s">
        <v>99</v>
      </c>
      <c r="F4" s="37" t="s">
        <v>188</v>
      </c>
      <c r="G4" s="37" t="s">
        <v>189</v>
      </c>
      <c r="H4" s="37" t="s">
        <v>190</v>
      </c>
      <c r="I4" s="37" t="s">
        <v>103</v>
      </c>
      <c r="J4" s="37" t="s">
        <v>191</v>
      </c>
      <c r="K4" s="37" t="s">
        <v>104</v>
      </c>
      <c r="L4" s="37" t="s">
        <v>106</v>
      </c>
      <c r="M4" s="37" t="s">
        <v>192</v>
      </c>
      <c r="N4" s="37" t="s">
        <v>109</v>
      </c>
    </row>
    <row r="5" spans="1:14" x14ac:dyDescent="0.3">
      <c r="A5" s="4" t="s">
        <v>279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">
      <c r="A6" s="32">
        <v>1</v>
      </c>
      <c r="B6" s="32" t="s">
        <v>279</v>
      </c>
      <c r="C6" s="32" t="s">
        <v>280</v>
      </c>
      <c r="D6" s="32"/>
      <c r="E6" s="32" t="s">
        <v>281</v>
      </c>
      <c r="F6" s="30"/>
      <c r="G6" s="32"/>
      <c r="H6" s="32" t="s">
        <v>195</v>
      </c>
      <c r="I6" s="34"/>
      <c r="J6" s="35">
        <f t="shared" ref="J6:J13" si="0">IFERROR(F6*I6,"")</f>
        <v>0</v>
      </c>
      <c r="K6" s="38">
        <f>IFERROR(J6/Продукт!B7,"")</f>
        <v>0</v>
      </c>
      <c r="L6" s="32"/>
      <c r="M6" s="32"/>
      <c r="N6" s="32"/>
    </row>
    <row r="7" spans="1:14" x14ac:dyDescent="0.3">
      <c r="A7" s="32">
        <v>2</v>
      </c>
      <c r="B7" s="32" t="s">
        <v>279</v>
      </c>
      <c r="C7" s="32" t="s">
        <v>282</v>
      </c>
      <c r="D7" s="32"/>
      <c r="E7" s="32" t="s">
        <v>281</v>
      </c>
      <c r="F7" s="30"/>
      <c r="G7" s="32"/>
      <c r="H7" s="32" t="s">
        <v>195</v>
      </c>
      <c r="I7" s="34"/>
      <c r="J7" s="35">
        <f t="shared" si="0"/>
        <v>0</v>
      </c>
      <c r="K7" s="38">
        <f>IFERROR(J7/Продукт!B7,"")</f>
        <v>0</v>
      </c>
      <c r="L7" s="32"/>
      <c r="M7" s="32"/>
      <c r="N7" s="32"/>
    </row>
    <row r="8" spans="1:14" x14ac:dyDescent="0.3">
      <c r="A8" s="32">
        <v>3</v>
      </c>
      <c r="B8" s="32" t="s">
        <v>279</v>
      </c>
      <c r="C8" s="32" t="s">
        <v>283</v>
      </c>
      <c r="D8" s="32"/>
      <c r="E8" s="32" t="s">
        <v>284</v>
      </c>
      <c r="F8" s="30"/>
      <c r="G8" s="32"/>
      <c r="H8" s="32" t="s">
        <v>195</v>
      </c>
      <c r="I8" s="34"/>
      <c r="J8" s="35">
        <f t="shared" si="0"/>
        <v>0</v>
      </c>
      <c r="K8" s="38">
        <f>IFERROR(J8/Продукт!B7,"")</f>
        <v>0</v>
      </c>
      <c r="L8" s="32"/>
      <c r="M8" s="32"/>
      <c r="N8" s="32"/>
    </row>
    <row r="9" spans="1:14" x14ac:dyDescent="0.3">
      <c r="A9" s="32">
        <v>4</v>
      </c>
      <c r="B9" s="32" t="s">
        <v>279</v>
      </c>
      <c r="C9" s="32"/>
      <c r="D9" s="32"/>
      <c r="E9" s="32"/>
      <c r="F9" s="30"/>
      <c r="G9" s="32"/>
      <c r="H9" s="32"/>
      <c r="I9" s="34"/>
      <c r="J9" s="35">
        <f t="shared" si="0"/>
        <v>0</v>
      </c>
      <c r="K9" s="38">
        <f>IFERROR(J9/Продукт!B7,"")</f>
        <v>0</v>
      </c>
      <c r="L9" s="32"/>
      <c r="M9" s="32"/>
      <c r="N9" s="32"/>
    </row>
    <row r="10" spans="1:14" x14ac:dyDescent="0.3">
      <c r="A10" s="32">
        <v>5</v>
      </c>
      <c r="B10" s="32" t="s">
        <v>279</v>
      </c>
      <c r="C10" s="32"/>
      <c r="D10" s="32"/>
      <c r="E10" s="32"/>
      <c r="F10" s="30"/>
      <c r="G10" s="32"/>
      <c r="H10" s="32"/>
      <c r="I10" s="34"/>
      <c r="J10" s="35">
        <f t="shared" si="0"/>
        <v>0</v>
      </c>
      <c r="K10" s="38">
        <f>IFERROR(J10/Продукт!B7,"")</f>
        <v>0</v>
      </c>
      <c r="L10" s="32"/>
      <c r="M10" s="32"/>
      <c r="N10" s="32"/>
    </row>
    <row r="11" spans="1:14" x14ac:dyDescent="0.3">
      <c r="A11" s="32">
        <v>6</v>
      </c>
      <c r="B11" s="32" t="s">
        <v>279</v>
      </c>
      <c r="C11" s="32"/>
      <c r="D11" s="32"/>
      <c r="E11" s="32"/>
      <c r="F11" s="30"/>
      <c r="G11" s="32"/>
      <c r="H11" s="32"/>
      <c r="I11" s="34"/>
      <c r="J11" s="35">
        <f t="shared" si="0"/>
        <v>0</v>
      </c>
      <c r="K11" s="38">
        <f>IFERROR(J11/Продукт!B7,"")</f>
        <v>0</v>
      </c>
      <c r="L11" s="32"/>
      <c r="M11" s="32"/>
      <c r="N11" s="32"/>
    </row>
    <row r="12" spans="1:14" x14ac:dyDescent="0.3">
      <c r="A12" s="32">
        <v>7</v>
      </c>
      <c r="B12" s="32" t="s">
        <v>279</v>
      </c>
      <c r="C12" s="32"/>
      <c r="D12" s="32"/>
      <c r="E12" s="32"/>
      <c r="F12" s="30"/>
      <c r="G12" s="32"/>
      <c r="H12" s="32"/>
      <c r="I12" s="34"/>
      <c r="J12" s="35">
        <f t="shared" si="0"/>
        <v>0</v>
      </c>
      <c r="K12" s="38">
        <f>IFERROR(J12/Продукт!B7,"")</f>
        <v>0</v>
      </c>
      <c r="L12" s="32"/>
      <c r="M12" s="32"/>
      <c r="N12" s="32"/>
    </row>
    <row r="13" spans="1:14" x14ac:dyDescent="0.3">
      <c r="A13" s="32">
        <v>8</v>
      </c>
      <c r="B13" s="32" t="s">
        <v>279</v>
      </c>
      <c r="C13" s="32"/>
      <c r="D13" s="32"/>
      <c r="E13" s="32"/>
      <c r="F13" s="30"/>
      <c r="G13" s="32"/>
      <c r="H13" s="32"/>
      <c r="I13" s="34"/>
      <c r="J13" s="35">
        <f t="shared" si="0"/>
        <v>0</v>
      </c>
      <c r="K13" s="38">
        <f>IFERROR(J13/Продукт!B7,"")</f>
        <v>0</v>
      </c>
      <c r="L13" s="32"/>
      <c r="M13" s="32"/>
      <c r="N13" s="32"/>
    </row>
    <row r="14" spans="1:14" x14ac:dyDescent="0.3">
      <c r="A14" s="4" t="s">
        <v>285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26.4" x14ac:dyDescent="0.3">
      <c r="A15" s="32">
        <v>9</v>
      </c>
      <c r="B15" s="32" t="s">
        <v>285</v>
      </c>
      <c r="C15" s="32" t="s">
        <v>286</v>
      </c>
      <c r="D15" s="32"/>
      <c r="E15" s="32" t="s">
        <v>287</v>
      </c>
      <c r="F15" s="30"/>
      <c r="G15" s="32"/>
      <c r="H15" s="32" t="s">
        <v>288</v>
      </c>
      <c r="I15" s="34"/>
      <c r="J15" s="35">
        <f t="shared" ref="J15:J22" si="1">IFERROR(F15*I15,"")</f>
        <v>0</v>
      </c>
      <c r="K15" s="38">
        <f>IFERROR(J15/Продукт!B7,"")</f>
        <v>0</v>
      </c>
      <c r="L15" s="32"/>
      <c r="M15" s="32"/>
      <c r="N15" s="32"/>
    </row>
    <row r="16" spans="1:14" ht="26.4" x14ac:dyDescent="0.3">
      <c r="A16" s="32">
        <v>10</v>
      </c>
      <c r="B16" s="32" t="s">
        <v>285</v>
      </c>
      <c r="C16" s="32" t="s">
        <v>289</v>
      </c>
      <c r="D16" s="32"/>
      <c r="E16" s="32" t="s">
        <v>290</v>
      </c>
      <c r="F16" s="30"/>
      <c r="G16" s="32"/>
      <c r="H16" s="32" t="s">
        <v>195</v>
      </c>
      <c r="I16" s="34"/>
      <c r="J16" s="35">
        <f t="shared" si="1"/>
        <v>0</v>
      </c>
      <c r="K16" s="38">
        <f>IFERROR(J16/Продукт!B7,"")</f>
        <v>0</v>
      </c>
      <c r="L16" s="32"/>
      <c r="M16" s="32"/>
      <c r="N16" s="32"/>
    </row>
    <row r="17" spans="1:14" ht="26.4" x14ac:dyDescent="0.3">
      <c r="A17" s="32">
        <v>11</v>
      </c>
      <c r="B17" s="32" t="s">
        <v>285</v>
      </c>
      <c r="C17" s="32" t="s">
        <v>291</v>
      </c>
      <c r="D17" s="32"/>
      <c r="E17" s="32" t="s">
        <v>292</v>
      </c>
      <c r="F17" s="30"/>
      <c r="G17" s="32"/>
      <c r="H17" s="32" t="s">
        <v>288</v>
      </c>
      <c r="I17" s="34"/>
      <c r="J17" s="35">
        <f t="shared" si="1"/>
        <v>0</v>
      </c>
      <c r="K17" s="38">
        <f>IFERROR(J17/Продукт!B7,"")</f>
        <v>0</v>
      </c>
      <c r="L17" s="32"/>
      <c r="M17" s="32"/>
      <c r="N17" s="32"/>
    </row>
    <row r="18" spans="1:14" ht="26.4" x14ac:dyDescent="0.3">
      <c r="A18" s="32">
        <v>12</v>
      </c>
      <c r="B18" s="32" t="s">
        <v>285</v>
      </c>
      <c r="C18" s="32"/>
      <c r="D18" s="32"/>
      <c r="E18" s="32"/>
      <c r="F18" s="30"/>
      <c r="G18" s="32"/>
      <c r="H18" s="32"/>
      <c r="I18" s="34"/>
      <c r="J18" s="35">
        <f t="shared" si="1"/>
        <v>0</v>
      </c>
      <c r="K18" s="38">
        <f>IFERROR(J18/Продукт!B7,"")</f>
        <v>0</v>
      </c>
      <c r="L18" s="32"/>
      <c r="M18" s="32"/>
      <c r="N18" s="32"/>
    </row>
    <row r="19" spans="1:14" ht="26.4" x14ac:dyDescent="0.3">
      <c r="A19" s="32">
        <v>13</v>
      </c>
      <c r="B19" s="32" t="s">
        <v>285</v>
      </c>
      <c r="C19" s="32"/>
      <c r="D19" s="32"/>
      <c r="E19" s="32"/>
      <c r="F19" s="30"/>
      <c r="G19" s="32"/>
      <c r="H19" s="32"/>
      <c r="I19" s="34"/>
      <c r="J19" s="35">
        <f t="shared" si="1"/>
        <v>0</v>
      </c>
      <c r="K19" s="38">
        <f>IFERROR(J19/Продукт!B7,"")</f>
        <v>0</v>
      </c>
      <c r="L19" s="32"/>
      <c r="M19" s="32"/>
      <c r="N19" s="32"/>
    </row>
    <row r="20" spans="1:14" ht="26.4" x14ac:dyDescent="0.3">
      <c r="A20" s="32">
        <v>14</v>
      </c>
      <c r="B20" s="32" t="s">
        <v>285</v>
      </c>
      <c r="C20" s="32"/>
      <c r="D20" s="32"/>
      <c r="E20" s="32"/>
      <c r="F20" s="30"/>
      <c r="G20" s="32"/>
      <c r="H20" s="32"/>
      <c r="I20" s="34"/>
      <c r="J20" s="35">
        <f t="shared" si="1"/>
        <v>0</v>
      </c>
      <c r="K20" s="38">
        <f>IFERROR(J20/Продукт!B7,"")</f>
        <v>0</v>
      </c>
      <c r="L20" s="32"/>
      <c r="M20" s="32"/>
      <c r="N20" s="32"/>
    </row>
    <row r="21" spans="1:14" ht="26.4" x14ac:dyDescent="0.3">
      <c r="A21" s="32">
        <v>15</v>
      </c>
      <c r="B21" s="32" t="s">
        <v>285</v>
      </c>
      <c r="C21" s="32"/>
      <c r="D21" s="32"/>
      <c r="E21" s="32"/>
      <c r="F21" s="30"/>
      <c r="G21" s="32"/>
      <c r="H21" s="32"/>
      <c r="I21" s="34"/>
      <c r="J21" s="35">
        <f t="shared" si="1"/>
        <v>0</v>
      </c>
      <c r="K21" s="38">
        <f>IFERROR(J21/Продукт!B7,"")</f>
        <v>0</v>
      </c>
      <c r="L21" s="32"/>
      <c r="M21" s="32"/>
      <c r="N21" s="32"/>
    </row>
    <row r="22" spans="1:14" ht="26.4" x14ac:dyDescent="0.3">
      <c r="A22" s="32">
        <v>16</v>
      </c>
      <c r="B22" s="32" t="s">
        <v>285</v>
      </c>
      <c r="C22" s="32"/>
      <c r="D22" s="32"/>
      <c r="E22" s="32"/>
      <c r="F22" s="30"/>
      <c r="G22" s="32"/>
      <c r="H22" s="32"/>
      <c r="I22" s="34"/>
      <c r="J22" s="35">
        <f t="shared" si="1"/>
        <v>0</v>
      </c>
      <c r="K22" s="38">
        <f>IFERROR(J22/Продукт!B7,"")</f>
        <v>0</v>
      </c>
      <c r="L22" s="32"/>
      <c r="M22" s="32"/>
      <c r="N22" s="32"/>
    </row>
    <row r="23" spans="1:14" x14ac:dyDescent="0.3">
      <c r="A23" s="4" t="s">
        <v>293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3">
      <c r="A24" s="32">
        <v>17</v>
      </c>
      <c r="B24" s="32" t="s">
        <v>293</v>
      </c>
      <c r="C24" s="32" t="s">
        <v>294</v>
      </c>
      <c r="D24" s="32"/>
      <c r="E24" s="32" t="s">
        <v>287</v>
      </c>
      <c r="F24" s="30"/>
      <c r="G24" s="32"/>
      <c r="H24" s="32" t="s">
        <v>195</v>
      </c>
      <c r="I24" s="34"/>
      <c r="J24" s="35">
        <f t="shared" ref="J24:J30" si="2">IFERROR(F24*I24,"")</f>
        <v>0</v>
      </c>
      <c r="K24" s="38">
        <f>IFERROR(J24/Продукт!B7,"")</f>
        <v>0</v>
      </c>
      <c r="L24" s="32"/>
      <c r="M24" s="32"/>
      <c r="N24" s="32"/>
    </row>
    <row r="25" spans="1:14" x14ac:dyDescent="0.3">
      <c r="A25" s="32">
        <v>18</v>
      </c>
      <c r="B25" s="32" t="s">
        <v>293</v>
      </c>
      <c r="C25" s="32" t="s">
        <v>295</v>
      </c>
      <c r="D25" s="32"/>
      <c r="E25" s="32" t="s">
        <v>287</v>
      </c>
      <c r="F25" s="30"/>
      <c r="G25" s="32"/>
      <c r="H25" s="32" t="s">
        <v>195</v>
      </c>
      <c r="I25" s="34"/>
      <c r="J25" s="35">
        <f t="shared" si="2"/>
        <v>0</v>
      </c>
      <c r="K25" s="38">
        <f>IFERROR(J25/Продукт!B7,"")</f>
        <v>0</v>
      </c>
      <c r="L25" s="32"/>
      <c r="M25" s="32"/>
      <c r="N25" s="32"/>
    </row>
    <row r="26" spans="1:14" x14ac:dyDescent="0.3">
      <c r="A26" s="32">
        <v>19</v>
      </c>
      <c r="B26" s="32" t="s">
        <v>293</v>
      </c>
      <c r="C26" s="32"/>
      <c r="D26" s="32"/>
      <c r="E26" s="32"/>
      <c r="F26" s="30"/>
      <c r="G26" s="32"/>
      <c r="H26" s="32"/>
      <c r="I26" s="34"/>
      <c r="J26" s="35">
        <f t="shared" si="2"/>
        <v>0</v>
      </c>
      <c r="K26" s="38">
        <f>IFERROR(J26/Продукт!B7,"")</f>
        <v>0</v>
      </c>
      <c r="L26" s="32"/>
      <c r="M26" s="32"/>
      <c r="N26" s="32"/>
    </row>
    <row r="27" spans="1:14" x14ac:dyDescent="0.3">
      <c r="A27" s="32">
        <v>20</v>
      </c>
      <c r="B27" s="32" t="s">
        <v>293</v>
      </c>
      <c r="C27" s="32"/>
      <c r="D27" s="32"/>
      <c r="E27" s="32"/>
      <c r="F27" s="30"/>
      <c r="G27" s="32"/>
      <c r="H27" s="32"/>
      <c r="I27" s="34"/>
      <c r="J27" s="35">
        <f t="shared" si="2"/>
        <v>0</v>
      </c>
      <c r="K27" s="38">
        <f>IFERROR(J27/Продукт!B7,"")</f>
        <v>0</v>
      </c>
      <c r="L27" s="32"/>
      <c r="M27" s="32"/>
      <c r="N27" s="32"/>
    </row>
    <row r="28" spans="1:14" x14ac:dyDescent="0.3">
      <c r="A28" s="32">
        <v>21</v>
      </c>
      <c r="B28" s="32" t="s">
        <v>293</v>
      </c>
      <c r="C28" s="32"/>
      <c r="D28" s="32"/>
      <c r="E28" s="32"/>
      <c r="F28" s="30"/>
      <c r="G28" s="32"/>
      <c r="H28" s="32"/>
      <c r="I28" s="34"/>
      <c r="J28" s="35">
        <f t="shared" si="2"/>
        <v>0</v>
      </c>
      <c r="K28" s="38">
        <f>IFERROR(J28/Продукт!B7,"")</f>
        <v>0</v>
      </c>
      <c r="L28" s="32"/>
      <c r="M28" s="32"/>
      <c r="N28" s="32"/>
    </row>
    <row r="29" spans="1:14" x14ac:dyDescent="0.3">
      <c r="A29" s="32">
        <v>22</v>
      </c>
      <c r="B29" s="32" t="s">
        <v>293</v>
      </c>
      <c r="C29" s="32"/>
      <c r="D29" s="32"/>
      <c r="E29" s="32"/>
      <c r="F29" s="30"/>
      <c r="G29" s="32"/>
      <c r="H29" s="32"/>
      <c r="I29" s="34"/>
      <c r="J29" s="35">
        <f t="shared" si="2"/>
        <v>0</v>
      </c>
      <c r="K29" s="38">
        <f>IFERROR(J29/Продукт!B7,"")</f>
        <v>0</v>
      </c>
      <c r="L29" s="32"/>
      <c r="M29" s="32"/>
      <c r="N29" s="32"/>
    </row>
    <row r="30" spans="1:14" x14ac:dyDescent="0.3">
      <c r="A30" s="32">
        <v>23</v>
      </c>
      <c r="B30" s="32" t="s">
        <v>293</v>
      </c>
      <c r="C30" s="32"/>
      <c r="D30" s="32"/>
      <c r="E30" s="32"/>
      <c r="F30" s="30"/>
      <c r="G30" s="32"/>
      <c r="H30" s="32"/>
      <c r="I30" s="34"/>
      <c r="J30" s="35">
        <f t="shared" si="2"/>
        <v>0</v>
      </c>
      <c r="K30" s="38">
        <f>IFERROR(J30/Продукт!B7,"")</f>
        <v>0</v>
      </c>
      <c r="L30" s="32"/>
      <c r="M30" s="32"/>
      <c r="N30" s="32"/>
    </row>
    <row r="31" spans="1:14" x14ac:dyDescent="0.3">
      <c r="A31" s="4" t="s">
        <v>296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26.4" x14ac:dyDescent="0.3">
      <c r="A32" s="32">
        <v>24</v>
      </c>
      <c r="B32" s="32" t="s">
        <v>296</v>
      </c>
      <c r="C32" s="32" t="s">
        <v>297</v>
      </c>
      <c r="D32" s="32"/>
      <c r="E32" s="32" t="s">
        <v>195</v>
      </c>
      <c r="F32" s="30"/>
      <c r="G32" s="32"/>
      <c r="H32" s="32" t="s">
        <v>195</v>
      </c>
      <c r="I32" s="34"/>
      <c r="J32" s="35">
        <f t="shared" ref="J32:J40" si="3">IFERROR(F32*I32,"")</f>
        <v>0</v>
      </c>
      <c r="K32" s="38">
        <f>IFERROR(J32/Продукт!B7,"")</f>
        <v>0</v>
      </c>
      <c r="L32" s="32"/>
      <c r="M32" s="32"/>
      <c r="N32" s="32"/>
    </row>
    <row r="33" spans="1:14" ht="26.4" x14ac:dyDescent="0.3">
      <c r="A33" s="32">
        <v>25</v>
      </c>
      <c r="B33" s="32" t="s">
        <v>296</v>
      </c>
      <c r="C33" s="32" t="s">
        <v>298</v>
      </c>
      <c r="D33" s="32"/>
      <c r="E33" s="32" t="s">
        <v>195</v>
      </c>
      <c r="F33" s="30"/>
      <c r="G33" s="32"/>
      <c r="H33" s="32" t="s">
        <v>195</v>
      </c>
      <c r="I33" s="34"/>
      <c r="J33" s="35">
        <f t="shared" si="3"/>
        <v>0</v>
      </c>
      <c r="K33" s="38">
        <f>IFERROR(J33/Продукт!B7,"")</f>
        <v>0</v>
      </c>
      <c r="L33" s="32"/>
      <c r="M33" s="32"/>
      <c r="N33" s="32"/>
    </row>
    <row r="34" spans="1:14" ht="26.4" x14ac:dyDescent="0.3">
      <c r="A34" s="32">
        <v>26</v>
      </c>
      <c r="B34" s="32" t="s">
        <v>296</v>
      </c>
      <c r="C34" s="32" t="s">
        <v>299</v>
      </c>
      <c r="D34" s="32"/>
      <c r="E34" s="32" t="s">
        <v>195</v>
      </c>
      <c r="F34" s="30"/>
      <c r="G34" s="32"/>
      <c r="H34" s="32" t="s">
        <v>195</v>
      </c>
      <c r="I34" s="34"/>
      <c r="J34" s="35">
        <f t="shared" si="3"/>
        <v>0</v>
      </c>
      <c r="K34" s="38">
        <f>IFERROR(J34/Продукт!B7,"")</f>
        <v>0</v>
      </c>
      <c r="L34" s="32"/>
      <c r="M34" s="32"/>
      <c r="N34" s="32"/>
    </row>
    <row r="35" spans="1:14" ht="26.4" x14ac:dyDescent="0.3">
      <c r="A35" s="32">
        <v>27</v>
      </c>
      <c r="B35" s="32" t="s">
        <v>296</v>
      </c>
      <c r="C35" s="32" t="s">
        <v>300</v>
      </c>
      <c r="D35" s="32"/>
      <c r="E35" s="32" t="s">
        <v>287</v>
      </c>
      <c r="F35" s="30"/>
      <c r="G35" s="32"/>
      <c r="H35" s="32" t="s">
        <v>195</v>
      </c>
      <c r="I35" s="34"/>
      <c r="J35" s="35">
        <f t="shared" si="3"/>
        <v>0</v>
      </c>
      <c r="K35" s="38">
        <f>IFERROR(J35/Продукт!B7,"")</f>
        <v>0</v>
      </c>
      <c r="L35" s="32"/>
      <c r="M35" s="32"/>
      <c r="N35" s="32"/>
    </row>
    <row r="36" spans="1:14" ht="26.4" x14ac:dyDescent="0.3">
      <c r="A36" s="32">
        <v>28</v>
      </c>
      <c r="B36" s="32" t="s">
        <v>296</v>
      </c>
      <c r="C36" s="32"/>
      <c r="D36" s="32"/>
      <c r="E36" s="32"/>
      <c r="F36" s="30"/>
      <c r="G36" s="32"/>
      <c r="H36" s="32"/>
      <c r="I36" s="34"/>
      <c r="J36" s="35">
        <f t="shared" si="3"/>
        <v>0</v>
      </c>
      <c r="K36" s="38">
        <f>IFERROR(J36/Продукт!B7,"")</f>
        <v>0</v>
      </c>
      <c r="L36" s="32"/>
      <c r="M36" s="32"/>
      <c r="N36" s="32"/>
    </row>
    <row r="37" spans="1:14" ht="26.4" x14ac:dyDescent="0.3">
      <c r="A37" s="32">
        <v>29</v>
      </c>
      <c r="B37" s="32" t="s">
        <v>296</v>
      </c>
      <c r="C37" s="32"/>
      <c r="D37" s="32"/>
      <c r="E37" s="32"/>
      <c r="F37" s="30"/>
      <c r="G37" s="32"/>
      <c r="H37" s="32"/>
      <c r="I37" s="34"/>
      <c r="J37" s="35">
        <f t="shared" si="3"/>
        <v>0</v>
      </c>
      <c r="K37" s="38">
        <f>IFERROR(J37/Продукт!B7,"")</f>
        <v>0</v>
      </c>
      <c r="L37" s="32"/>
      <c r="M37" s="32"/>
      <c r="N37" s="32"/>
    </row>
    <row r="38" spans="1:14" ht="26.4" x14ac:dyDescent="0.3">
      <c r="A38" s="32">
        <v>30</v>
      </c>
      <c r="B38" s="32" t="s">
        <v>296</v>
      </c>
      <c r="C38" s="32"/>
      <c r="D38" s="32"/>
      <c r="E38" s="32"/>
      <c r="F38" s="30"/>
      <c r="G38" s="32"/>
      <c r="H38" s="32"/>
      <c r="I38" s="34"/>
      <c r="J38" s="35">
        <f t="shared" si="3"/>
        <v>0</v>
      </c>
      <c r="K38" s="38">
        <f>IFERROR(J38/Продукт!B7,"")</f>
        <v>0</v>
      </c>
      <c r="L38" s="32"/>
      <c r="M38" s="32"/>
      <c r="N38" s="32"/>
    </row>
    <row r="39" spans="1:14" ht="26.4" x14ac:dyDescent="0.3">
      <c r="A39" s="32">
        <v>31</v>
      </c>
      <c r="B39" s="32" t="s">
        <v>296</v>
      </c>
      <c r="C39" s="32"/>
      <c r="D39" s="32"/>
      <c r="E39" s="32"/>
      <c r="F39" s="30"/>
      <c r="G39" s="32"/>
      <c r="H39" s="32"/>
      <c r="I39" s="34"/>
      <c r="J39" s="35">
        <f t="shared" si="3"/>
        <v>0</v>
      </c>
      <c r="K39" s="38">
        <f>IFERROR(J39/Продукт!B7,"")</f>
        <v>0</v>
      </c>
      <c r="L39" s="32"/>
      <c r="M39" s="32"/>
      <c r="N39" s="32"/>
    </row>
    <row r="40" spans="1:14" ht="26.4" x14ac:dyDescent="0.3">
      <c r="A40" s="32">
        <v>32</v>
      </c>
      <c r="B40" s="32" t="s">
        <v>296</v>
      </c>
      <c r="C40" s="32"/>
      <c r="D40" s="32"/>
      <c r="E40" s="32"/>
      <c r="F40" s="30"/>
      <c r="G40" s="32"/>
      <c r="H40" s="32"/>
      <c r="I40" s="34"/>
      <c r="J40" s="35">
        <f t="shared" si="3"/>
        <v>0</v>
      </c>
      <c r="K40" s="38">
        <f>IFERROR(J40/Продукт!B7,"")</f>
        <v>0</v>
      </c>
      <c r="L40" s="32"/>
      <c r="M40" s="32"/>
      <c r="N40" s="32"/>
    </row>
    <row r="41" spans="1:14" x14ac:dyDescent="0.3">
      <c r="A41" s="4" t="s">
        <v>301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x14ac:dyDescent="0.3">
      <c r="A42" s="32">
        <v>33</v>
      </c>
      <c r="B42" s="32" t="s">
        <v>301</v>
      </c>
      <c r="C42" s="32" t="s">
        <v>302</v>
      </c>
      <c r="D42" s="32"/>
      <c r="E42" s="32" t="s">
        <v>195</v>
      </c>
      <c r="F42" s="30"/>
      <c r="G42" s="32"/>
      <c r="H42" s="32" t="s">
        <v>195</v>
      </c>
      <c r="I42" s="34"/>
      <c r="J42" s="35">
        <f t="shared" ref="J42:J49" si="4">IFERROR(F42*I42,"")</f>
        <v>0</v>
      </c>
      <c r="K42" s="38">
        <f>IFERROR(J42/Продукт!B7,"")</f>
        <v>0</v>
      </c>
      <c r="L42" s="32"/>
      <c r="M42" s="32"/>
      <c r="N42" s="32"/>
    </row>
    <row r="43" spans="1:14" x14ac:dyDescent="0.3">
      <c r="A43" s="32">
        <v>34</v>
      </c>
      <c r="B43" s="32" t="s">
        <v>301</v>
      </c>
      <c r="C43" s="32" t="s">
        <v>303</v>
      </c>
      <c r="D43" s="32"/>
      <c r="E43" s="32" t="s">
        <v>195</v>
      </c>
      <c r="F43" s="30"/>
      <c r="G43" s="32"/>
      <c r="H43" s="32" t="s">
        <v>195</v>
      </c>
      <c r="I43" s="34"/>
      <c r="J43" s="35">
        <f t="shared" si="4"/>
        <v>0</v>
      </c>
      <c r="K43" s="38">
        <f>IFERROR(J43/Продукт!B7,"")</f>
        <v>0</v>
      </c>
      <c r="L43" s="32"/>
      <c r="M43" s="32"/>
      <c r="N43" s="32"/>
    </row>
    <row r="44" spans="1:14" x14ac:dyDescent="0.3">
      <c r="A44" s="32">
        <v>35</v>
      </c>
      <c r="B44" s="32" t="s">
        <v>301</v>
      </c>
      <c r="C44" s="32" t="s">
        <v>304</v>
      </c>
      <c r="D44" s="32"/>
      <c r="E44" s="32" t="s">
        <v>195</v>
      </c>
      <c r="F44" s="30"/>
      <c r="G44" s="32"/>
      <c r="H44" s="32" t="s">
        <v>195</v>
      </c>
      <c r="I44" s="34"/>
      <c r="J44" s="35">
        <f t="shared" si="4"/>
        <v>0</v>
      </c>
      <c r="K44" s="38">
        <f>IFERROR(J44/Продукт!B7,"")</f>
        <v>0</v>
      </c>
      <c r="L44" s="32"/>
      <c r="M44" s="32"/>
      <c r="N44" s="32"/>
    </row>
    <row r="45" spans="1:14" x14ac:dyDescent="0.3">
      <c r="A45" s="32">
        <v>36</v>
      </c>
      <c r="B45" s="32" t="s">
        <v>301</v>
      </c>
      <c r="C45" s="32"/>
      <c r="D45" s="32"/>
      <c r="E45" s="32"/>
      <c r="F45" s="30"/>
      <c r="G45" s="32"/>
      <c r="H45" s="32"/>
      <c r="I45" s="34"/>
      <c r="J45" s="35">
        <f t="shared" si="4"/>
        <v>0</v>
      </c>
      <c r="K45" s="38">
        <f>IFERROR(J45/Продукт!B7,"")</f>
        <v>0</v>
      </c>
      <c r="L45" s="32"/>
      <c r="M45" s="32"/>
      <c r="N45" s="32"/>
    </row>
    <row r="46" spans="1:14" x14ac:dyDescent="0.3">
      <c r="A46" s="32">
        <v>37</v>
      </c>
      <c r="B46" s="32" t="s">
        <v>301</v>
      </c>
      <c r="C46" s="32"/>
      <c r="D46" s="32"/>
      <c r="E46" s="32"/>
      <c r="F46" s="30"/>
      <c r="G46" s="32"/>
      <c r="H46" s="32"/>
      <c r="I46" s="34"/>
      <c r="J46" s="35">
        <f t="shared" si="4"/>
        <v>0</v>
      </c>
      <c r="K46" s="38">
        <f>IFERROR(J46/Продукт!B7,"")</f>
        <v>0</v>
      </c>
      <c r="L46" s="32"/>
      <c r="M46" s="32"/>
      <c r="N46" s="32"/>
    </row>
    <row r="47" spans="1:14" x14ac:dyDescent="0.3">
      <c r="A47" s="32">
        <v>38</v>
      </c>
      <c r="B47" s="32" t="s">
        <v>301</v>
      </c>
      <c r="C47" s="32"/>
      <c r="D47" s="32"/>
      <c r="E47" s="32"/>
      <c r="F47" s="30"/>
      <c r="G47" s="32"/>
      <c r="H47" s="32"/>
      <c r="I47" s="34"/>
      <c r="J47" s="35">
        <f t="shared" si="4"/>
        <v>0</v>
      </c>
      <c r="K47" s="38">
        <f>IFERROR(J47/Продукт!B7,"")</f>
        <v>0</v>
      </c>
      <c r="L47" s="32"/>
      <c r="M47" s="32"/>
      <c r="N47" s="32"/>
    </row>
    <row r="48" spans="1:14" x14ac:dyDescent="0.3">
      <c r="A48" s="32">
        <v>39</v>
      </c>
      <c r="B48" s="32" t="s">
        <v>301</v>
      </c>
      <c r="C48" s="32"/>
      <c r="D48" s="32"/>
      <c r="E48" s="32"/>
      <c r="F48" s="30"/>
      <c r="G48" s="32"/>
      <c r="H48" s="32"/>
      <c r="I48" s="34"/>
      <c r="J48" s="35">
        <f t="shared" si="4"/>
        <v>0</v>
      </c>
      <c r="K48" s="38">
        <f>IFERROR(J48/Продукт!B7,"")</f>
        <v>0</v>
      </c>
      <c r="L48" s="32"/>
      <c r="M48" s="32"/>
      <c r="N48" s="32"/>
    </row>
    <row r="49" spans="1:14" x14ac:dyDescent="0.3">
      <c r="A49" s="32">
        <v>40</v>
      </c>
      <c r="B49" s="32" t="s">
        <v>301</v>
      </c>
      <c r="C49" s="32"/>
      <c r="D49" s="32"/>
      <c r="E49" s="32"/>
      <c r="F49" s="30"/>
      <c r="G49" s="32"/>
      <c r="H49" s="32"/>
      <c r="I49" s="34"/>
      <c r="J49" s="35">
        <f t="shared" si="4"/>
        <v>0</v>
      </c>
      <c r="K49" s="38">
        <f>IFERROR(J49/Продукт!B7,"")</f>
        <v>0</v>
      </c>
      <c r="L49" s="32"/>
      <c r="M49" s="32"/>
      <c r="N49" s="32"/>
    </row>
    <row r="50" spans="1:14" x14ac:dyDescent="0.3">
      <c r="A50" s="4" t="s">
        <v>305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26.4" x14ac:dyDescent="0.3">
      <c r="A51" s="32">
        <v>41</v>
      </c>
      <c r="B51" s="32" t="s">
        <v>305</v>
      </c>
      <c r="C51" s="32" t="s">
        <v>306</v>
      </c>
      <c r="D51" s="32"/>
      <c r="E51" s="32" t="s">
        <v>195</v>
      </c>
      <c r="F51" s="30"/>
      <c r="G51" s="32"/>
      <c r="H51" s="32" t="s">
        <v>195</v>
      </c>
      <c r="I51" s="34"/>
      <c r="J51" s="35">
        <f t="shared" ref="J51:J58" si="5">IFERROR(F51*I51,"")</f>
        <v>0</v>
      </c>
      <c r="K51" s="38">
        <f>IFERROR(J51/Продукт!B7,"")</f>
        <v>0</v>
      </c>
      <c r="L51" s="32"/>
      <c r="M51" s="32"/>
      <c r="N51" s="32"/>
    </row>
    <row r="52" spans="1:14" ht="26.4" x14ac:dyDescent="0.3">
      <c r="A52" s="32">
        <v>42</v>
      </c>
      <c r="B52" s="32" t="s">
        <v>305</v>
      </c>
      <c r="C52" s="32" t="s">
        <v>307</v>
      </c>
      <c r="D52" s="32"/>
      <c r="E52" s="32" t="s">
        <v>195</v>
      </c>
      <c r="F52" s="30"/>
      <c r="G52" s="32"/>
      <c r="H52" s="32" t="s">
        <v>195</v>
      </c>
      <c r="I52" s="34"/>
      <c r="J52" s="35">
        <f t="shared" si="5"/>
        <v>0</v>
      </c>
      <c r="K52" s="38">
        <f>IFERROR(J52/Продукт!B7,"")</f>
        <v>0</v>
      </c>
      <c r="L52" s="32"/>
      <c r="M52" s="32"/>
      <c r="N52" s="32"/>
    </row>
    <row r="53" spans="1:14" ht="26.4" x14ac:dyDescent="0.3">
      <c r="A53" s="32">
        <v>43</v>
      </c>
      <c r="B53" s="32" t="s">
        <v>305</v>
      </c>
      <c r="C53" s="32" t="s">
        <v>308</v>
      </c>
      <c r="D53" s="32"/>
      <c r="E53" s="32" t="s">
        <v>287</v>
      </c>
      <c r="F53" s="30"/>
      <c r="G53" s="32"/>
      <c r="H53" s="32" t="s">
        <v>288</v>
      </c>
      <c r="I53" s="34"/>
      <c r="J53" s="35">
        <f t="shared" si="5"/>
        <v>0</v>
      </c>
      <c r="K53" s="38">
        <f>IFERROR(J53/Продукт!B7,"")</f>
        <v>0</v>
      </c>
      <c r="L53" s="32"/>
      <c r="M53" s="32"/>
      <c r="N53" s="32"/>
    </row>
    <row r="54" spans="1:14" ht="26.4" x14ac:dyDescent="0.3">
      <c r="A54" s="32">
        <v>44</v>
      </c>
      <c r="B54" s="32" t="s">
        <v>305</v>
      </c>
      <c r="C54" s="32"/>
      <c r="D54" s="32"/>
      <c r="E54" s="32"/>
      <c r="F54" s="30"/>
      <c r="G54" s="32"/>
      <c r="H54" s="32"/>
      <c r="I54" s="34"/>
      <c r="J54" s="35">
        <f t="shared" si="5"/>
        <v>0</v>
      </c>
      <c r="K54" s="38">
        <f>IFERROR(J54/Продукт!B7,"")</f>
        <v>0</v>
      </c>
      <c r="L54" s="32"/>
      <c r="M54" s="32"/>
      <c r="N54" s="32"/>
    </row>
    <row r="55" spans="1:14" ht="26.4" x14ac:dyDescent="0.3">
      <c r="A55" s="32">
        <v>45</v>
      </c>
      <c r="B55" s="32" t="s">
        <v>305</v>
      </c>
      <c r="C55" s="32"/>
      <c r="D55" s="32"/>
      <c r="E55" s="32"/>
      <c r="F55" s="30"/>
      <c r="G55" s="32"/>
      <c r="H55" s="32"/>
      <c r="I55" s="34"/>
      <c r="J55" s="35">
        <f t="shared" si="5"/>
        <v>0</v>
      </c>
      <c r="K55" s="38">
        <f>IFERROR(J55/Продукт!B7,"")</f>
        <v>0</v>
      </c>
      <c r="L55" s="32"/>
      <c r="M55" s="32"/>
      <c r="N55" s="32"/>
    </row>
    <row r="56" spans="1:14" ht="26.4" x14ac:dyDescent="0.3">
      <c r="A56" s="32">
        <v>46</v>
      </c>
      <c r="B56" s="32" t="s">
        <v>305</v>
      </c>
      <c r="C56" s="32"/>
      <c r="D56" s="32"/>
      <c r="E56" s="32"/>
      <c r="F56" s="30"/>
      <c r="G56" s="32"/>
      <c r="H56" s="32"/>
      <c r="I56" s="34"/>
      <c r="J56" s="35">
        <f t="shared" si="5"/>
        <v>0</v>
      </c>
      <c r="K56" s="38">
        <f>IFERROR(J56/Продукт!B7,"")</f>
        <v>0</v>
      </c>
      <c r="L56" s="32"/>
      <c r="M56" s="32"/>
      <c r="N56" s="32"/>
    </row>
    <row r="57" spans="1:14" ht="26.4" x14ac:dyDescent="0.3">
      <c r="A57" s="32">
        <v>47</v>
      </c>
      <c r="B57" s="32" t="s">
        <v>305</v>
      </c>
      <c r="C57" s="32"/>
      <c r="D57" s="32"/>
      <c r="E57" s="32"/>
      <c r="F57" s="30"/>
      <c r="G57" s="32"/>
      <c r="H57" s="32"/>
      <c r="I57" s="34"/>
      <c r="J57" s="35">
        <f t="shared" si="5"/>
        <v>0</v>
      </c>
      <c r="K57" s="38">
        <f>IFERROR(J57/Продукт!B7,"")</f>
        <v>0</v>
      </c>
      <c r="L57" s="32"/>
      <c r="M57" s="32"/>
      <c r="N57" s="32"/>
    </row>
    <row r="58" spans="1:14" ht="26.4" x14ac:dyDescent="0.3">
      <c r="A58" s="32">
        <v>48</v>
      </c>
      <c r="B58" s="32" t="s">
        <v>305</v>
      </c>
      <c r="C58" s="32"/>
      <c r="D58" s="32"/>
      <c r="E58" s="32"/>
      <c r="F58" s="30"/>
      <c r="G58" s="32"/>
      <c r="H58" s="32"/>
      <c r="I58" s="34"/>
      <c r="J58" s="35">
        <f t="shared" si="5"/>
        <v>0</v>
      </c>
      <c r="K58" s="38">
        <f>IFERROR(J58/Продукт!B7,"")</f>
        <v>0</v>
      </c>
      <c r="L58" s="32"/>
      <c r="M58" s="32"/>
      <c r="N58" s="32"/>
    </row>
    <row r="59" spans="1:14" x14ac:dyDescent="0.3">
      <c r="A59" s="4" t="s">
        <v>309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x14ac:dyDescent="0.3">
      <c r="A60" s="32">
        <v>49</v>
      </c>
      <c r="B60" s="32" t="s">
        <v>309</v>
      </c>
      <c r="C60" s="32" t="s">
        <v>310</v>
      </c>
      <c r="D60" s="32"/>
      <c r="E60" s="32" t="s">
        <v>195</v>
      </c>
      <c r="F60" s="30"/>
      <c r="G60" s="32"/>
      <c r="H60" s="32" t="s">
        <v>195</v>
      </c>
      <c r="I60" s="34"/>
      <c r="J60" s="35">
        <f t="shared" ref="J60:J67" si="6">IFERROR(F60*I60,"")</f>
        <v>0</v>
      </c>
      <c r="K60" s="38">
        <f>IFERROR(J60/Продукт!B7,"")</f>
        <v>0</v>
      </c>
      <c r="L60" s="32"/>
      <c r="M60" s="32"/>
      <c r="N60" s="32"/>
    </row>
    <row r="61" spans="1:14" x14ac:dyDescent="0.3">
      <c r="A61" s="32">
        <v>50</v>
      </c>
      <c r="B61" s="32" t="s">
        <v>309</v>
      </c>
      <c r="C61" s="32" t="s">
        <v>311</v>
      </c>
      <c r="D61" s="32"/>
      <c r="E61" s="32" t="s">
        <v>195</v>
      </c>
      <c r="F61" s="30"/>
      <c r="G61" s="32"/>
      <c r="H61" s="32" t="s">
        <v>195</v>
      </c>
      <c r="I61" s="34"/>
      <c r="J61" s="35">
        <f t="shared" si="6"/>
        <v>0</v>
      </c>
      <c r="K61" s="38">
        <f>IFERROR(J61/Продукт!B7,"")</f>
        <v>0</v>
      </c>
      <c r="L61" s="32"/>
      <c r="M61" s="32"/>
      <c r="N61" s="32"/>
    </row>
    <row r="62" spans="1:14" x14ac:dyDescent="0.3">
      <c r="A62" s="32">
        <v>51</v>
      </c>
      <c r="B62" s="32" t="s">
        <v>309</v>
      </c>
      <c r="C62" s="32" t="s">
        <v>312</v>
      </c>
      <c r="D62" s="32"/>
      <c r="E62" s="32" t="s">
        <v>195</v>
      </c>
      <c r="F62" s="30"/>
      <c r="G62" s="32"/>
      <c r="H62" s="32" t="s">
        <v>195</v>
      </c>
      <c r="I62" s="34"/>
      <c r="J62" s="35">
        <f t="shared" si="6"/>
        <v>0</v>
      </c>
      <c r="K62" s="38">
        <f>IFERROR(J62/Продукт!B7,"")</f>
        <v>0</v>
      </c>
      <c r="L62" s="32"/>
      <c r="M62" s="32"/>
      <c r="N62" s="32"/>
    </row>
    <row r="63" spans="1:14" x14ac:dyDescent="0.3">
      <c r="A63" s="32">
        <v>52</v>
      </c>
      <c r="B63" s="32" t="s">
        <v>309</v>
      </c>
      <c r="C63" s="32"/>
      <c r="D63" s="32"/>
      <c r="E63" s="32"/>
      <c r="F63" s="30"/>
      <c r="G63" s="32"/>
      <c r="H63" s="32"/>
      <c r="I63" s="34"/>
      <c r="J63" s="35">
        <f t="shared" si="6"/>
        <v>0</v>
      </c>
      <c r="K63" s="38">
        <f>IFERROR(J63/Продукт!B7,"")</f>
        <v>0</v>
      </c>
      <c r="L63" s="32"/>
      <c r="M63" s="32"/>
      <c r="N63" s="32"/>
    </row>
    <row r="64" spans="1:14" x14ac:dyDescent="0.3">
      <c r="A64" s="32">
        <v>53</v>
      </c>
      <c r="B64" s="32" t="s">
        <v>309</v>
      </c>
      <c r="C64" s="32"/>
      <c r="D64" s="32"/>
      <c r="E64" s="32"/>
      <c r="F64" s="30"/>
      <c r="G64" s="32"/>
      <c r="H64" s="32"/>
      <c r="I64" s="34"/>
      <c r="J64" s="35">
        <f t="shared" si="6"/>
        <v>0</v>
      </c>
      <c r="K64" s="38">
        <f>IFERROR(J64/Продукт!B7,"")</f>
        <v>0</v>
      </c>
      <c r="L64" s="32"/>
      <c r="M64" s="32"/>
      <c r="N64" s="32"/>
    </row>
    <row r="65" spans="1:14" x14ac:dyDescent="0.3">
      <c r="A65" s="32">
        <v>54</v>
      </c>
      <c r="B65" s="32" t="s">
        <v>309</v>
      </c>
      <c r="C65" s="32"/>
      <c r="D65" s="32"/>
      <c r="E65" s="32"/>
      <c r="F65" s="30"/>
      <c r="G65" s="32"/>
      <c r="H65" s="32"/>
      <c r="I65" s="34"/>
      <c r="J65" s="35">
        <f t="shared" si="6"/>
        <v>0</v>
      </c>
      <c r="K65" s="38">
        <f>IFERROR(J65/Продукт!B7,"")</f>
        <v>0</v>
      </c>
      <c r="L65" s="32"/>
      <c r="M65" s="32"/>
      <c r="N65" s="32"/>
    </row>
    <row r="66" spans="1:14" x14ac:dyDescent="0.3">
      <c r="A66" s="32">
        <v>55</v>
      </c>
      <c r="B66" s="32" t="s">
        <v>309</v>
      </c>
      <c r="C66" s="32"/>
      <c r="D66" s="32"/>
      <c r="E66" s="32"/>
      <c r="F66" s="30"/>
      <c r="G66" s="32"/>
      <c r="H66" s="32"/>
      <c r="I66" s="34"/>
      <c r="J66" s="35">
        <f t="shared" si="6"/>
        <v>0</v>
      </c>
      <c r="K66" s="38">
        <f>IFERROR(J66/Продукт!B7,"")</f>
        <v>0</v>
      </c>
      <c r="L66" s="32"/>
      <c r="M66" s="32"/>
      <c r="N66" s="32"/>
    </row>
    <row r="67" spans="1:14" x14ac:dyDescent="0.3">
      <c r="A67" s="32">
        <v>56</v>
      </c>
      <c r="B67" s="32" t="s">
        <v>309</v>
      </c>
      <c r="C67" s="32"/>
      <c r="D67" s="32"/>
      <c r="E67" s="32"/>
      <c r="F67" s="30"/>
      <c r="G67" s="32"/>
      <c r="H67" s="32"/>
      <c r="I67" s="34"/>
      <c r="J67" s="35">
        <f t="shared" si="6"/>
        <v>0</v>
      </c>
      <c r="K67" s="38">
        <f>IFERROR(J67/Продукт!B7,"")</f>
        <v>0</v>
      </c>
      <c r="L67" s="32"/>
      <c r="M67" s="32"/>
      <c r="N67" s="32"/>
    </row>
    <row r="68" spans="1:14" x14ac:dyDescent="0.3">
      <c r="A68" s="7" t="s">
        <v>204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 x14ac:dyDescent="0.3">
      <c r="A69" s="32">
        <v>57</v>
      </c>
      <c r="B69" s="32"/>
      <c r="C69" s="32"/>
      <c r="D69" s="32"/>
      <c r="E69" s="32"/>
      <c r="F69" s="30"/>
      <c r="G69" s="32"/>
      <c r="H69" s="32"/>
      <c r="I69" s="34"/>
      <c r="J69" s="35">
        <f>IFERROR(F69*I69,"")</f>
        <v>0</v>
      </c>
      <c r="K69" s="38">
        <f>IFERROR(J69/Продукт!B7,"")</f>
        <v>0</v>
      </c>
      <c r="L69" s="32"/>
      <c r="M69" s="32"/>
      <c r="N69" s="32"/>
    </row>
    <row r="70" spans="1:14" x14ac:dyDescent="0.3">
      <c r="A70" s="32">
        <v>58</v>
      </c>
      <c r="B70" s="32"/>
      <c r="C70" s="32"/>
      <c r="D70" s="32"/>
      <c r="E70" s="32"/>
      <c r="F70" s="30"/>
      <c r="G70" s="32"/>
      <c r="H70" s="32"/>
      <c r="I70" s="34"/>
      <c r="J70" s="35">
        <f>IFERROR(F70*I70,"")</f>
        <v>0</v>
      </c>
      <c r="K70" s="38">
        <f>IFERROR(J70/Продукт!B7,"")</f>
        <v>0</v>
      </c>
      <c r="L70" s="32"/>
      <c r="M70" s="32"/>
      <c r="N70" s="32"/>
    </row>
    <row r="71" spans="1:14" x14ac:dyDescent="0.3">
      <c r="A71" s="32">
        <v>59</v>
      </c>
      <c r="B71" s="32"/>
      <c r="C71" s="32"/>
      <c r="D71" s="32"/>
      <c r="E71" s="32"/>
      <c r="F71" s="30"/>
      <c r="G71" s="32"/>
      <c r="H71" s="32"/>
      <c r="I71" s="34"/>
      <c r="J71" s="35">
        <f>IFERROR(F71*I71,"")</f>
        <v>0</v>
      </c>
      <c r="K71" s="38">
        <f>IFERROR(J71/Продукт!B7,"")</f>
        <v>0</v>
      </c>
      <c r="L71" s="32"/>
      <c r="M71" s="32"/>
      <c r="N71" s="32"/>
    </row>
    <row r="72" spans="1:14" x14ac:dyDescent="0.3">
      <c r="A72" s="32">
        <v>60</v>
      </c>
      <c r="B72" s="32"/>
      <c r="C72" s="32"/>
      <c r="D72" s="32"/>
      <c r="E72" s="32"/>
      <c r="F72" s="30"/>
      <c r="G72" s="32"/>
      <c r="H72" s="32"/>
      <c r="I72" s="34"/>
      <c r="J72" s="35">
        <f>IFERROR(F72*I72,"")</f>
        <v>0</v>
      </c>
      <c r="K72" s="38">
        <f>IFERROR(J72/Продукт!B7,"")</f>
        <v>0</v>
      </c>
      <c r="L72" s="32"/>
      <c r="M72" s="32"/>
      <c r="N72" s="32"/>
    </row>
    <row r="73" spans="1:14" x14ac:dyDescent="0.3">
      <c r="A73" s="32">
        <v>61</v>
      </c>
      <c r="B73" s="32"/>
      <c r="C73" s="32"/>
      <c r="D73" s="32"/>
      <c r="E73" s="32"/>
      <c r="F73" s="30"/>
      <c r="G73" s="32"/>
      <c r="H73" s="32"/>
      <c r="I73" s="34"/>
      <c r="J73" s="35">
        <f>IFERROR(F73*I73,"")</f>
        <v>0</v>
      </c>
      <c r="K73" s="38">
        <f>IFERROR(J73/Продукт!B7,"")</f>
        <v>0</v>
      </c>
      <c r="L73" s="32"/>
      <c r="M73" s="32"/>
      <c r="N73" s="32"/>
    </row>
    <row r="75" spans="1:14" x14ac:dyDescent="0.3">
      <c r="A75" s="6" t="s">
        <v>127</v>
      </c>
      <c r="B75" s="6"/>
      <c r="C75" s="6"/>
      <c r="D75" s="6"/>
      <c r="E75" s="6"/>
      <c r="F75" s="6"/>
      <c r="G75" s="6"/>
      <c r="H75" s="6"/>
      <c r="I75" s="6"/>
      <c r="J75" s="36">
        <f>SUMIF(J5:J73,"&gt;0")</f>
        <v>0</v>
      </c>
      <c r="K75" s="39">
        <f>SUMIF(K5:K73,"&gt;0")</f>
        <v>0</v>
      </c>
      <c r="L75" s="18"/>
      <c r="M75" s="18"/>
      <c r="N75" s="18"/>
    </row>
  </sheetData>
  <mergeCells count="11">
    <mergeCell ref="A75:I75"/>
    <mergeCell ref="A31:N31"/>
    <mergeCell ref="A41:N41"/>
    <mergeCell ref="A50:N50"/>
    <mergeCell ref="A59:N59"/>
    <mergeCell ref="A68:N68"/>
    <mergeCell ref="A1:N1"/>
    <mergeCell ref="A2:N2"/>
    <mergeCell ref="A5:N5"/>
    <mergeCell ref="A14:N14"/>
    <mergeCell ref="A23:N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N1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3" customWidth="1"/>
    <col min="7" max="7" width="14" customWidth="1"/>
    <col min="8" max="8" width="13" customWidth="1"/>
    <col min="9" max="9" width="14" customWidth="1"/>
    <col min="10" max="11" width="16" customWidth="1"/>
    <col min="12" max="12" width="20" customWidth="1"/>
    <col min="13" max="13" width="12" customWidth="1"/>
    <col min="14" max="14" width="30" customWidth="1"/>
  </cols>
  <sheetData>
    <row r="1" spans="1:14" ht="27.75" customHeight="1" x14ac:dyDescent="0.4">
      <c r="A1" s="5" t="s">
        <v>313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9" t="s">
        <v>219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45" customHeight="1" x14ac:dyDescent="0.3">
      <c r="A4" s="37" t="s">
        <v>95</v>
      </c>
      <c r="B4" s="37" t="s">
        <v>96</v>
      </c>
      <c r="C4" s="37" t="s">
        <v>97</v>
      </c>
      <c r="D4" s="37" t="s">
        <v>98</v>
      </c>
      <c r="E4" s="37" t="s">
        <v>99</v>
      </c>
      <c r="F4" s="37" t="s">
        <v>188</v>
      </c>
      <c r="G4" s="37" t="s">
        <v>189</v>
      </c>
      <c r="H4" s="37" t="s">
        <v>190</v>
      </c>
      <c r="I4" s="37" t="s">
        <v>103</v>
      </c>
      <c r="J4" s="37" t="s">
        <v>191</v>
      </c>
      <c r="K4" s="37" t="s">
        <v>104</v>
      </c>
      <c r="L4" s="37" t="s">
        <v>106</v>
      </c>
      <c r="M4" s="37" t="s">
        <v>192</v>
      </c>
      <c r="N4" s="37" t="s">
        <v>109</v>
      </c>
    </row>
    <row r="5" spans="1:14" x14ac:dyDescent="0.3">
      <c r="A5" s="4" t="s">
        <v>314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39.6" x14ac:dyDescent="0.3">
      <c r="A6" s="32">
        <v>1</v>
      </c>
      <c r="B6" s="32" t="s">
        <v>314</v>
      </c>
      <c r="C6" s="32" t="s">
        <v>315</v>
      </c>
      <c r="D6" s="32"/>
      <c r="E6" s="32" t="s">
        <v>75</v>
      </c>
      <c r="F6" s="30"/>
      <c r="G6" s="32"/>
      <c r="H6" s="32" t="s">
        <v>195</v>
      </c>
      <c r="I6" s="34"/>
      <c r="J6" s="35">
        <f t="shared" ref="J6:J12" si="0">IFERROR(F6*I6,"")</f>
        <v>0</v>
      </c>
      <c r="K6" s="38">
        <f>IFERROR(J6/Продукт!B7,"")</f>
        <v>0</v>
      </c>
      <c r="L6" s="32"/>
      <c r="M6" s="32"/>
      <c r="N6" s="32"/>
    </row>
    <row r="7" spans="1:14" ht="39.6" x14ac:dyDescent="0.3">
      <c r="A7" s="32">
        <v>2</v>
      </c>
      <c r="B7" s="32" t="s">
        <v>314</v>
      </c>
      <c r="C7" s="32" t="s">
        <v>316</v>
      </c>
      <c r="D7" s="32"/>
      <c r="E7" s="32" t="s">
        <v>75</v>
      </c>
      <c r="F7" s="30"/>
      <c r="G7" s="32"/>
      <c r="H7" s="32" t="s">
        <v>195</v>
      </c>
      <c r="I7" s="34"/>
      <c r="J7" s="35">
        <f t="shared" si="0"/>
        <v>0</v>
      </c>
      <c r="K7" s="38">
        <f>IFERROR(J7/Продукт!B7,"")</f>
        <v>0</v>
      </c>
      <c r="L7" s="32"/>
      <c r="M7" s="32"/>
      <c r="N7" s="32"/>
    </row>
    <row r="8" spans="1:14" ht="39.6" x14ac:dyDescent="0.3">
      <c r="A8" s="32">
        <v>3</v>
      </c>
      <c r="B8" s="32" t="s">
        <v>314</v>
      </c>
      <c r="C8" s="32"/>
      <c r="D8" s="32"/>
      <c r="E8" s="32"/>
      <c r="F8" s="30"/>
      <c r="G8" s="32"/>
      <c r="H8" s="32"/>
      <c r="I8" s="34"/>
      <c r="J8" s="35">
        <f t="shared" si="0"/>
        <v>0</v>
      </c>
      <c r="K8" s="38">
        <f>IFERROR(J8/Продукт!B7,"")</f>
        <v>0</v>
      </c>
      <c r="L8" s="32"/>
      <c r="M8" s="32"/>
      <c r="N8" s="32"/>
    </row>
    <row r="9" spans="1:14" ht="39.6" x14ac:dyDescent="0.3">
      <c r="A9" s="32">
        <v>4</v>
      </c>
      <c r="B9" s="32" t="s">
        <v>314</v>
      </c>
      <c r="C9" s="32"/>
      <c r="D9" s="32"/>
      <c r="E9" s="32"/>
      <c r="F9" s="30"/>
      <c r="G9" s="32"/>
      <c r="H9" s="32"/>
      <c r="I9" s="34"/>
      <c r="J9" s="35">
        <f t="shared" si="0"/>
        <v>0</v>
      </c>
      <c r="K9" s="38">
        <f>IFERROR(J9/Продукт!B7,"")</f>
        <v>0</v>
      </c>
      <c r="L9" s="32"/>
      <c r="M9" s="32"/>
      <c r="N9" s="32"/>
    </row>
    <row r="10" spans="1:14" ht="39.6" x14ac:dyDescent="0.3">
      <c r="A10" s="32">
        <v>5</v>
      </c>
      <c r="B10" s="32" t="s">
        <v>314</v>
      </c>
      <c r="C10" s="32"/>
      <c r="D10" s="32"/>
      <c r="E10" s="32"/>
      <c r="F10" s="30"/>
      <c r="G10" s="32"/>
      <c r="H10" s="32"/>
      <c r="I10" s="34"/>
      <c r="J10" s="35">
        <f t="shared" si="0"/>
        <v>0</v>
      </c>
      <c r="K10" s="38">
        <f>IFERROR(J10/Продукт!B7,"")</f>
        <v>0</v>
      </c>
      <c r="L10" s="32"/>
      <c r="M10" s="32"/>
      <c r="N10" s="32"/>
    </row>
    <row r="11" spans="1:14" ht="39.6" x14ac:dyDescent="0.3">
      <c r="A11" s="32">
        <v>6</v>
      </c>
      <c r="B11" s="32" t="s">
        <v>314</v>
      </c>
      <c r="C11" s="32"/>
      <c r="D11" s="32"/>
      <c r="E11" s="32"/>
      <c r="F11" s="30"/>
      <c r="G11" s="32"/>
      <c r="H11" s="32"/>
      <c r="I11" s="34"/>
      <c r="J11" s="35">
        <f t="shared" si="0"/>
        <v>0</v>
      </c>
      <c r="K11" s="38">
        <f>IFERROR(J11/Продукт!B7,"")</f>
        <v>0</v>
      </c>
      <c r="L11" s="32"/>
      <c r="M11" s="32"/>
      <c r="N11" s="32"/>
    </row>
    <row r="12" spans="1:14" ht="39.6" x14ac:dyDescent="0.3">
      <c r="A12" s="32">
        <v>7</v>
      </c>
      <c r="B12" s="32" t="s">
        <v>314</v>
      </c>
      <c r="C12" s="32"/>
      <c r="D12" s="32"/>
      <c r="E12" s="32"/>
      <c r="F12" s="30"/>
      <c r="G12" s="32"/>
      <c r="H12" s="32"/>
      <c r="I12" s="34"/>
      <c r="J12" s="35">
        <f t="shared" si="0"/>
        <v>0</v>
      </c>
      <c r="K12" s="38">
        <f>IFERROR(J12/Продукт!B7,"")</f>
        <v>0</v>
      </c>
      <c r="L12" s="32"/>
      <c r="M12" s="32"/>
      <c r="N12" s="32"/>
    </row>
    <row r="13" spans="1:14" x14ac:dyDescent="0.3">
      <c r="A13" s="4" t="s">
        <v>317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3">
      <c r="A14" s="32">
        <v>8</v>
      </c>
      <c r="B14" s="32" t="s">
        <v>317</v>
      </c>
      <c r="C14" s="32" t="s">
        <v>318</v>
      </c>
      <c r="D14" s="32"/>
      <c r="E14" s="32" t="s">
        <v>319</v>
      </c>
      <c r="F14" s="30"/>
      <c r="G14" s="32"/>
      <c r="H14" s="32" t="s">
        <v>195</v>
      </c>
      <c r="I14" s="34"/>
      <c r="J14" s="35">
        <f t="shared" ref="J14:J20" si="1">IFERROR(F14*I14,"")</f>
        <v>0</v>
      </c>
      <c r="K14" s="38">
        <f>IFERROR(J14/Продукт!B7,"")</f>
        <v>0</v>
      </c>
      <c r="L14" s="32"/>
      <c r="M14" s="32"/>
      <c r="N14" s="32"/>
    </row>
    <row r="15" spans="1:14" x14ac:dyDescent="0.3">
      <c r="A15" s="32">
        <v>9</v>
      </c>
      <c r="B15" s="32" t="s">
        <v>317</v>
      </c>
      <c r="C15" s="32" t="s">
        <v>320</v>
      </c>
      <c r="D15" s="32"/>
      <c r="E15" s="32" t="s">
        <v>75</v>
      </c>
      <c r="F15" s="30"/>
      <c r="G15" s="32"/>
      <c r="H15" s="32" t="s">
        <v>195</v>
      </c>
      <c r="I15" s="34"/>
      <c r="J15" s="35">
        <f t="shared" si="1"/>
        <v>0</v>
      </c>
      <c r="K15" s="38">
        <f>IFERROR(J15/Продукт!B7,"")</f>
        <v>0</v>
      </c>
      <c r="L15" s="32"/>
      <c r="M15" s="32"/>
      <c r="N15" s="32"/>
    </row>
    <row r="16" spans="1:14" x14ac:dyDescent="0.3">
      <c r="A16" s="32">
        <v>10</v>
      </c>
      <c r="B16" s="32" t="s">
        <v>317</v>
      </c>
      <c r="C16" s="32"/>
      <c r="D16" s="32"/>
      <c r="E16" s="32"/>
      <c r="F16" s="30"/>
      <c r="G16" s="32"/>
      <c r="H16" s="32"/>
      <c r="I16" s="34"/>
      <c r="J16" s="35">
        <f t="shared" si="1"/>
        <v>0</v>
      </c>
      <c r="K16" s="38">
        <f>IFERROR(J16/Продукт!B7,"")</f>
        <v>0</v>
      </c>
      <c r="L16" s="32"/>
      <c r="M16" s="32"/>
      <c r="N16" s="32"/>
    </row>
    <row r="17" spans="1:14" x14ac:dyDescent="0.3">
      <c r="A17" s="32">
        <v>11</v>
      </c>
      <c r="B17" s="32" t="s">
        <v>317</v>
      </c>
      <c r="C17" s="32"/>
      <c r="D17" s="32"/>
      <c r="E17" s="32"/>
      <c r="F17" s="30"/>
      <c r="G17" s="32"/>
      <c r="H17" s="32"/>
      <c r="I17" s="34"/>
      <c r="J17" s="35">
        <f t="shared" si="1"/>
        <v>0</v>
      </c>
      <c r="K17" s="38">
        <f>IFERROR(J17/Продукт!B7,"")</f>
        <v>0</v>
      </c>
      <c r="L17" s="32"/>
      <c r="M17" s="32"/>
      <c r="N17" s="32"/>
    </row>
    <row r="18" spans="1:14" x14ac:dyDescent="0.3">
      <c r="A18" s="32">
        <v>12</v>
      </c>
      <c r="B18" s="32" t="s">
        <v>317</v>
      </c>
      <c r="C18" s="32"/>
      <c r="D18" s="32"/>
      <c r="E18" s="32"/>
      <c r="F18" s="30"/>
      <c r="G18" s="32"/>
      <c r="H18" s="32"/>
      <c r="I18" s="34"/>
      <c r="J18" s="35">
        <f t="shared" si="1"/>
        <v>0</v>
      </c>
      <c r="K18" s="38">
        <f>IFERROR(J18/Продукт!B7,"")</f>
        <v>0</v>
      </c>
      <c r="L18" s="32"/>
      <c r="M18" s="32"/>
      <c r="N18" s="32"/>
    </row>
    <row r="19" spans="1:14" x14ac:dyDescent="0.3">
      <c r="A19" s="32">
        <v>13</v>
      </c>
      <c r="B19" s="32" t="s">
        <v>317</v>
      </c>
      <c r="C19" s="32"/>
      <c r="D19" s="32"/>
      <c r="E19" s="32"/>
      <c r="F19" s="30"/>
      <c r="G19" s="32"/>
      <c r="H19" s="32"/>
      <c r="I19" s="34"/>
      <c r="J19" s="35">
        <f t="shared" si="1"/>
        <v>0</v>
      </c>
      <c r="K19" s="38">
        <f>IFERROR(J19/Продукт!B7,"")</f>
        <v>0</v>
      </c>
      <c r="L19" s="32"/>
      <c r="M19" s="32"/>
      <c r="N19" s="32"/>
    </row>
    <row r="20" spans="1:14" x14ac:dyDescent="0.3">
      <c r="A20" s="32">
        <v>14</v>
      </c>
      <c r="B20" s="32" t="s">
        <v>317</v>
      </c>
      <c r="C20" s="32"/>
      <c r="D20" s="32"/>
      <c r="E20" s="32"/>
      <c r="F20" s="30"/>
      <c r="G20" s="32"/>
      <c r="H20" s="32"/>
      <c r="I20" s="34"/>
      <c r="J20" s="35">
        <f t="shared" si="1"/>
        <v>0</v>
      </c>
      <c r="K20" s="38">
        <f>IFERROR(J20/Продукт!B7,"")</f>
        <v>0</v>
      </c>
      <c r="L20" s="32"/>
      <c r="M20" s="32"/>
      <c r="N20" s="32"/>
    </row>
    <row r="21" spans="1:14" x14ac:dyDescent="0.3">
      <c r="A21" s="4" t="s">
        <v>321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3">
      <c r="A22" s="32">
        <v>15</v>
      </c>
      <c r="B22" s="32" t="s">
        <v>321</v>
      </c>
      <c r="C22" s="32" t="s">
        <v>322</v>
      </c>
      <c r="D22" s="32"/>
      <c r="E22" s="32"/>
      <c r="F22" s="30"/>
      <c r="G22" s="32"/>
      <c r="H22" s="32" t="s">
        <v>195</v>
      </c>
      <c r="I22" s="34"/>
      <c r="J22" s="35">
        <f t="shared" ref="J22:J27" si="2">IFERROR(F22*I22,"")</f>
        <v>0</v>
      </c>
      <c r="K22" s="38">
        <f>IFERROR(J22/Продукт!B7,"")</f>
        <v>0</v>
      </c>
      <c r="L22" s="32"/>
      <c r="M22" s="32"/>
      <c r="N22" s="32"/>
    </row>
    <row r="23" spans="1:14" x14ac:dyDescent="0.3">
      <c r="A23" s="32">
        <v>16</v>
      </c>
      <c r="B23" s="32" t="s">
        <v>321</v>
      </c>
      <c r="C23" s="32"/>
      <c r="D23" s="32"/>
      <c r="E23" s="32"/>
      <c r="F23" s="30"/>
      <c r="G23" s="32"/>
      <c r="H23" s="32"/>
      <c r="I23" s="34"/>
      <c r="J23" s="35">
        <f t="shared" si="2"/>
        <v>0</v>
      </c>
      <c r="K23" s="38">
        <f>IFERROR(J23/Продукт!B7,"")</f>
        <v>0</v>
      </c>
      <c r="L23" s="32"/>
      <c r="M23" s="32"/>
      <c r="N23" s="32"/>
    </row>
    <row r="24" spans="1:14" x14ac:dyDescent="0.3">
      <c r="A24" s="32">
        <v>17</v>
      </c>
      <c r="B24" s="32" t="s">
        <v>321</v>
      </c>
      <c r="C24" s="32"/>
      <c r="D24" s="32"/>
      <c r="E24" s="32"/>
      <c r="F24" s="30"/>
      <c r="G24" s="32"/>
      <c r="H24" s="32"/>
      <c r="I24" s="34"/>
      <c r="J24" s="35">
        <f t="shared" si="2"/>
        <v>0</v>
      </c>
      <c r="K24" s="38">
        <f>IFERROR(J24/Продукт!B7,"")</f>
        <v>0</v>
      </c>
      <c r="L24" s="32"/>
      <c r="M24" s="32"/>
      <c r="N24" s="32"/>
    </row>
    <row r="25" spans="1:14" x14ac:dyDescent="0.3">
      <c r="A25" s="32">
        <v>18</v>
      </c>
      <c r="B25" s="32" t="s">
        <v>321</v>
      </c>
      <c r="C25" s="32"/>
      <c r="D25" s="32"/>
      <c r="E25" s="32"/>
      <c r="F25" s="30"/>
      <c r="G25" s="32"/>
      <c r="H25" s="32"/>
      <c r="I25" s="34"/>
      <c r="J25" s="35">
        <f t="shared" si="2"/>
        <v>0</v>
      </c>
      <c r="K25" s="38">
        <f>IFERROR(J25/Продукт!B7,"")</f>
        <v>0</v>
      </c>
      <c r="L25" s="32"/>
      <c r="M25" s="32"/>
      <c r="N25" s="32"/>
    </row>
    <row r="26" spans="1:14" x14ac:dyDescent="0.3">
      <c r="A26" s="32">
        <v>19</v>
      </c>
      <c r="B26" s="32" t="s">
        <v>321</v>
      </c>
      <c r="C26" s="32"/>
      <c r="D26" s="32"/>
      <c r="E26" s="32"/>
      <c r="F26" s="30"/>
      <c r="G26" s="32"/>
      <c r="H26" s="32"/>
      <c r="I26" s="34"/>
      <c r="J26" s="35">
        <f t="shared" si="2"/>
        <v>0</v>
      </c>
      <c r="K26" s="38">
        <f>IFERROR(J26/Продукт!B7,"")</f>
        <v>0</v>
      </c>
      <c r="L26" s="32"/>
      <c r="M26" s="32"/>
      <c r="N26" s="32"/>
    </row>
    <row r="27" spans="1:14" x14ac:dyDescent="0.3">
      <c r="A27" s="32">
        <v>20</v>
      </c>
      <c r="B27" s="32" t="s">
        <v>321</v>
      </c>
      <c r="C27" s="32"/>
      <c r="D27" s="32"/>
      <c r="E27" s="32"/>
      <c r="F27" s="30"/>
      <c r="G27" s="32"/>
      <c r="H27" s="32"/>
      <c r="I27" s="34"/>
      <c r="J27" s="35">
        <f t="shared" si="2"/>
        <v>0</v>
      </c>
      <c r="K27" s="38">
        <f>IFERROR(J27/Продукт!B7,"")</f>
        <v>0</v>
      </c>
      <c r="L27" s="32"/>
      <c r="M27" s="32"/>
      <c r="N27" s="32"/>
    </row>
    <row r="28" spans="1:14" x14ac:dyDescent="0.3">
      <c r="A28" s="7" t="s">
        <v>204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x14ac:dyDescent="0.3">
      <c r="A29" s="32">
        <v>21</v>
      </c>
      <c r="B29" s="32"/>
      <c r="C29" s="32"/>
      <c r="D29" s="32"/>
      <c r="E29" s="32"/>
      <c r="F29" s="30"/>
      <c r="G29" s="32"/>
      <c r="H29" s="32"/>
      <c r="I29" s="34"/>
      <c r="J29" s="35">
        <f>IFERROR(F29*I29,"")</f>
        <v>0</v>
      </c>
      <c r="K29" s="38">
        <f>IFERROR(J29/Продукт!B7,"")</f>
        <v>0</v>
      </c>
      <c r="L29" s="32"/>
      <c r="M29" s="32"/>
      <c r="N29" s="32"/>
    </row>
    <row r="30" spans="1:14" x14ac:dyDescent="0.3">
      <c r="A30" s="32">
        <v>22</v>
      </c>
      <c r="B30" s="32"/>
      <c r="C30" s="32"/>
      <c r="D30" s="32"/>
      <c r="E30" s="32"/>
      <c r="F30" s="30"/>
      <c r="G30" s="32"/>
      <c r="H30" s="32"/>
      <c r="I30" s="34"/>
      <c r="J30" s="35">
        <f>IFERROR(F30*I30,"")</f>
        <v>0</v>
      </c>
      <c r="K30" s="38">
        <f>IFERROR(J30/Продукт!B7,"")</f>
        <v>0</v>
      </c>
      <c r="L30" s="32"/>
      <c r="M30" s="32"/>
      <c r="N30" s="32"/>
    </row>
    <row r="31" spans="1:14" x14ac:dyDescent="0.3">
      <c r="A31" s="32">
        <v>23</v>
      </c>
      <c r="B31" s="32"/>
      <c r="C31" s="32"/>
      <c r="D31" s="32"/>
      <c r="E31" s="32"/>
      <c r="F31" s="30"/>
      <c r="G31" s="32"/>
      <c r="H31" s="32"/>
      <c r="I31" s="34"/>
      <c r="J31" s="35">
        <f>IFERROR(F31*I31,"")</f>
        <v>0</v>
      </c>
      <c r="K31" s="38">
        <f>IFERROR(J31/Продукт!B7,"")</f>
        <v>0</v>
      </c>
      <c r="L31" s="32"/>
      <c r="M31" s="32"/>
      <c r="N31" s="32"/>
    </row>
    <row r="32" spans="1:14" x14ac:dyDescent="0.3">
      <c r="A32" s="32">
        <v>24</v>
      </c>
      <c r="B32" s="32"/>
      <c r="C32" s="32"/>
      <c r="D32" s="32"/>
      <c r="E32" s="32"/>
      <c r="F32" s="30"/>
      <c r="G32" s="32"/>
      <c r="H32" s="32"/>
      <c r="I32" s="34"/>
      <c r="J32" s="35">
        <f>IFERROR(F32*I32,"")</f>
        <v>0</v>
      </c>
      <c r="K32" s="38">
        <f>IFERROR(J32/Продукт!B7,"")</f>
        <v>0</v>
      </c>
      <c r="L32" s="32"/>
      <c r="M32" s="32"/>
      <c r="N32" s="32"/>
    </row>
    <row r="33" spans="1:14" x14ac:dyDescent="0.3">
      <c r="A33" s="32">
        <v>25</v>
      </c>
      <c r="B33" s="32"/>
      <c r="C33" s="32"/>
      <c r="D33" s="32"/>
      <c r="E33" s="32"/>
      <c r="F33" s="30"/>
      <c r="G33" s="32"/>
      <c r="H33" s="32"/>
      <c r="I33" s="34"/>
      <c r="J33" s="35">
        <f>IFERROR(F33*I33,"")</f>
        <v>0</v>
      </c>
      <c r="K33" s="38">
        <f>IFERROR(J33/Продукт!B7,"")</f>
        <v>0</v>
      </c>
      <c r="L33" s="32"/>
      <c r="M33" s="32"/>
      <c r="N33" s="32"/>
    </row>
    <row r="35" spans="1:14" x14ac:dyDescent="0.3">
      <c r="A35" s="6" t="s">
        <v>127</v>
      </c>
      <c r="B35" s="6"/>
      <c r="C35" s="6"/>
      <c r="D35" s="6"/>
      <c r="E35" s="6"/>
      <c r="F35" s="6"/>
      <c r="G35" s="6"/>
      <c r="H35" s="6"/>
      <c r="I35" s="6"/>
      <c r="J35" s="36">
        <f>SUMIF(J5:J33,"&gt;0")</f>
        <v>0</v>
      </c>
      <c r="K35" s="39">
        <f>SUMIF(K5:K33,"&gt;0")</f>
        <v>0</v>
      </c>
      <c r="L35" s="18"/>
      <c r="M35" s="18"/>
      <c r="N35" s="18"/>
    </row>
  </sheetData>
  <mergeCells count="7">
    <mergeCell ref="A28:N28"/>
    <mergeCell ref="A35:I35"/>
    <mergeCell ref="A1:N1"/>
    <mergeCell ref="A2:N2"/>
    <mergeCell ref="A5:N5"/>
    <mergeCell ref="A13:N13"/>
    <mergeCell ref="A21:N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4"/>
  <sheetViews>
    <sheetView tabSelected="1" zoomScaleNormal="100" workbookViewId="0">
      <pane ySplit="7" topLeftCell="A8" activePane="bottomLeft" state="frozen"/>
      <selection pane="bottomLeft" activeCell="F24" sqref="F24"/>
    </sheetView>
  </sheetViews>
  <sheetFormatPr defaultColWidth="8.6640625" defaultRowHeight="14.4" x14ac:dyDescent="0.3"/>
  <cols>
    <col min="1" max="1" width="6" customWidth="1"/>
    <col min="2" max="2" width="18" customWidth="1"/>
    <col min="3" max="3" width="35" customWidth="1"/>
    <col min="4" max="5" width="22" customWidth="1"/>
    <col min="6" max="6" width="18" customWidth="1"/>
  </cols>
  <sheetData>
    <row r="1" spans="1:6" ht="21" x14ac:dyDescent="0.4">
      <c r="A1" s="3" t="s">
        <v>323</v>
      </c>
      <c r="B1" s="3"/>
      <c r="C1" s="3"/>
      <c r="D1" s="3"/>
      <c r="E1" s="3"/>
      <c r="F1" s="3"/>
    </row>
    <row r="2" spans="1:6" x14ac:dyDescent="0.3">
      <c r="A2" s="13" t="s">
        <v>324</v>
      </c>
      <c r="B2" s="13"/>
      <c r="C2" s="13"/>
      <c r="D2" s="13"/>
      <c r="E2" s="13"/>
      <c r="F2" s="13"/>
    </row>
    <row r="4" spans="1:6" x14ac:dyDescent="0.3">
      <c r="A4" s="40" t="s">
        <v>325</v>
      </c>
      <c r="B4" s="41">
        <f>Продукт!B4</f>
        <v>0</v>
      </c>
    </row>
    <row r="5" spans="1:6" x14ac:dyDescent="0.3">
      <c r="A5" s="40" t="s">
        <v>326</v>
      </c>
      <c r="B5" s="41">
        <f>Продукт!B7</f>
        <v>100000</v>
      </c>
      <c r="C5" s="40" t="s">
        <v>327</v>
      </c>
      <c r="D5" t="str">
        <f>Продукт!B8</f>
        <v>месяц</v>
      </c>
    </row>
    <row r="7" spans="1:6" ht="39.75" customHeight="1" x14ac:dyDescent="0.3">
      <c r="A7" s="42" t="s">
        <v>95</v>
      </c>
      <c r="B7" s="42" t="s">
        <v>328</v>
      </c>
      <c r="C7" s="42" t="s">
        <v>329</v>
      </c>
      <c r="D7" s="42" t="s">
        <v>104</v>
      </c>
      <c r="E7" s="42" t="s">
        <v>191</v>
      </c>
      <c r="F7" s="42" t="s">
        <v>330</v>
      </c>
    </row>
    <row r="8" spans="1:6" x14ac:dyDescent="0.3">
      <c r="A8" s="32">
        <v>1</v>
      </c>
      <c r="B8" s="43" t="s">
        <v>331</v>
      </c>
      <c r="C8" s="29" t="s">
        <v>21</v>
      </c>
      <c r="D8" s="38">
        <f>SUMIF('А1 Сырьё'!J:J,"&gt;0")</f>
        <v>0</v>
      </c>
      <c r="E8" s="35">
        <f>SUMIF('А1 Сырьё'!K:K,"&gt;0")</f>
        <v>0</v>
      </c>
      <c r="F8" s="33">
        <f t="shared" ref="F8:F23" si="0">IFERROR(D8/$D$24,0)</f>
        <v>0</v>
      </c>
    </row>
    <row r="9" spans="1:6" x14ac:dyDescent="0.3">
      <c r="A9" s="32">
        <v>2</v>
      </c>
      <c r="B9" s="43" t="s">
        <v>331</v>
      </c>
      <c r="C9" s="29" t="s">
        <v>332</v>
      </c>
      <c r="D9" s="38">
        <f>SUMIF('А2 Вспом материалы'!J:J,"&gt;0")</f>
        <v>0</v>
      </c>
      <c r="E9" s="35">
        <f>SUMIF('А2 Вспом материалы'!K:K,"&gt;0")</f>
        <v>0</v>
      </c>
      <c r="F9" s="33">
        <f t="shared" si="0"/>
        <v>0</v>
      </c>
    </row>
    <row r="10" spans="1:6" x14ac:dyDescent="0.3">
      <c r="A10" s="32">
        <v>3</v>
      </c>
      <c r="B10" s="43" t="s">
        <v>331</v>
      </c>
      <c r="C10" s="29" t="s">
        <v>26</v>
      </c>
      <c r="D10" s="38">
        <f>SUMIF('А3 Упаковка'!J:J,"&gt;0")</f>
        <v>0</v>
      </c>
      <c r="E10" s="35">
        <f>SUMIF('А3 Упаковка'!K:K,"&gt;0")</f>
        <v>0</v>
      </c>
      <c r="F10" s="33">
        <f t="shared" si="0"/>
        <v>0</v>
      </c>
    </row>
    <row r="11" spans="1:6" x14ac:dyDescent="0.3">
      <c r="A11" s="32">
        <v>4</v>
      </c>
      <c r="B11" s="43" t="s">
        <v>331</v>
      </c>
      <c r="C11" s="29" t="s">
        <v>28</v>
      </c>
      <c r="D11" s="38">
        <f>SUMIF('А4 Комплектующие'!J:J,"&gt;0")</f>
        <v>0</v>
      </c>
      <c r="E11" s="35">
        <f>SUMIF('А4 Комплектующие'!K:K,"&gt;0")</f>
        <v>0</v>
      </c>
      <c r="F11" s="33">
        <f t="shared" si="0"/>
        <v>0</v>
      </c>
    </row>
    <row r="12" spans="1:6" x14ac:dyDescent="0.3">
      <c r="A12" s="32">
        <v>5</v>
      </c>
      <c r="B12" s="43" t="s">
        <v>331</v>
      </c>
      <c r="C12" s="29" t="s">
        <v>30</v>
      </c>
      <c r="D12" s="38">
        <f>SUMIF('А5 Энергоресурсы'!J:J,"&gt;0")</f>
        <v>0</v>
      </c>
      <c r="E12" s="35">
        <f>SUMIF('А5 Энергоресурсы'!K:K,"&gt;0")</f>
        <v>0</v>
      </c>
      <c r="F12" s="33">
        <f t="shared" si="0"/>
        <v>0</v>
      </c>
    </row>
    <row r="13" spans="1:6" x14ac:dyDescent="0.3">
      <c r="A13" s="32">
        <v>6</v>
      </c>
      <c r="B13" s="43" t="s">
        <v>331</v>
      </c>
      <c r="C13" s="29" t="s">
        <v>333</v>
      </c>
      <c r="D13" s="38">
        <f>SUMIF('А6 Отходы'!J:J,"&gt;0")</f>
        <v>0</v>
      </c>
      <c r="E13" s="35">
        <f>SUMIF('А6 Отходы'!K:K,"&gt;0")</f>
        <v>0</v>
      </c>
      <c r="F13" s="33">
        <f t="shared" si="0"/>
        <v>0</v>
      </c>
    </row>
    <row r="14" spans="1:6" x14ac:dyDescent="0.3">
      <c r="A14" s="32">
        <v>7</v>
      </c>
      <c r="B14" s="44" t="s">
        <v>334</v>
      </c>
      <c r="C14" s="29" t="s">
        <v>335</v>
      </c>
      <c r="D14" s="38">
        <f>SUMIF('Б1 Оборудование'!K:K,"&gt;0")</f>
        <v>16.666666666666668</v>
      </c>
      <c r="E14" s="35">
        <f>SUMIF('Б1 Оборудование'!J:J,"&gt;0")</f>
        <v>1666666.6666666667</v>
      </c>
      <c r="F14" s="33">
        <f t="shared" si="0"/>
        <v>1</v>
      </c>
    </row>
    <row r="15" spans="1:6" x14ac:dyDescent="0.3">
      <c r="A15" s="32">
        <v>8</v>
      </c>
      <c r="B15" s="44" t="s">
        <v>334</v>
      </c>
      <c r="C15" s="29" t="s">
        <v>336</v>
      </c>
      <c r="D15" s="38">
        <f>SUMIF('Б2 Оснастка'!K:K,"&gt;0")</f>
        <v>0</v>
      </c>
      <c r="E15" s="35">
        <f>SUMIF('Б2 Оснастка'!J:J,"&gt;0")</f>
        <v>0</v>
      </c>
      <c r="F15" s="33">
        <f t="shared" si="0"/>
        <v>0</v>
      </c>
    </row>
    <row r="16" spans="1:6" x14ac:dyDescent="0.3">
      <c r="A16" s="32">
        <v>9</v>
      </c>
      <c r="B16" s="44" t="s">
        <v>334</v>
      </c>
      <c r="C16" s="29" t="s">
        <v>337</v>
      </c>
      <c r="D16" s="38">
        <f>SUMIF('Б3 Запчасти'!K:K,"&gt;0")</f>
        <v>0</v>
      </c>
      <c r="E16" s="35">
        <f>SUMIF('Б3 Запчасти'!J:J,"&gt;0")</f>
        <v>0</v>
      </c>
      <c r="F16" s="33">
        <f t="shared" si="0"/>
        <v>0</v>
      </c>
    </row>
    <row r="17" spans="1:6" x14ac:dyDescent="0.3">
      <c r="A17" s="32">
        <v>10</v>
      </c>
      <c r="B17" s="44" t="s">
        <v>334</v>
      </c>
      <c r="C17" s="29" t="s">
        <v>338</v>
      </c>
      <c r="D17" s="38">
        <f>SUMIF('Б4 Расходники'!K:K,"&gt;0")</f>
        <v>0</v>
      </c>
      <c r="E17" s="35">
        <f>SUMIF('Б4 Расходники'!J:J,"&gt;0")</f>
        <v>0</v>
      </c>
      <c r="F17" s="33">
        <f t="shared" si="0"/>
        <v>0</v>
      </c>
    </row>
    <row r="18" spans="1:6" x14ac:dyDescent="0.3">
      <c r="A18" s="32">
        <v>11</v>
      </c>
      <c r="B18" s="44" t="s">
        <v>334</v>
      </c>
      <c r="C18" s="29" t="s">
        <v>46</v>
      </c>
      <c r="D18" s="38">
        <f>SUMIF('Б5 Материалы ТОиР'!K:K,"&gt;0")</f>
        <v>0</v>
      </c>
      <c r="E18" s="35">
        <f>SUMIF('Б5 Материалы ТОиР'!J:J,"&gt;0")</f>
        <v>0</v>
      </c>
      <c r="F18" s="33">
        <f t="shared" si="0"/>
        <v>0</v>
      </c>
    </row>
    <row r="19" spans="1:6" x14ac:dyDescent="0.3">
      <c r="A19" s="32">
        <v>12</v>
      </c>
      <c r="B19" s="44" t="s">
        <v>334</v>
      </c>
      <c r="C19" s="29" t="s">
        <v>48</v>
      </c>
      <c r="D19" s="38">
        <f>SUMIF('Б6 СИЗ и санитария'!K:K,"&gt;0")</f>
        <v>0</v>
      </c>
      <c r="E19" s="35">
        <f>SUMIF('Б6 СИЗ и санитария'!J:J,"&gt;0")</f>
        <v>0</v>
      </c>
      <c r="F19" s="33">
        <f t="shared" si="0"/>
        <v>0</v>
      </c>
    </row>
    <row r="20" spans="1:6" x14ac:dyDescent="0.3">
      <c r="A20" s="32">
        <v>13</v>
      </c>
      <c r="B20" s="44" t="s">
        <v>334</v>
      </c>
      <c r="C20" s="29" t="s">
        <v>50</v>
      </c>
      <c r="D20" s="38">
        <f>SUMIF('Б7 Услуги'!K:K,"&gt;0")</f>
        <v>0</v>
      </c>
      <c r="E20" s="35">
        <f>SUMIF('Б7 Услуги'!J:J,"&gt;0")</f>
        <v>0</v>
      </c>
      <c r="F20" s="33">
        <f t="shared" si="0"/>
        <v>0</v>
      </c>
    </row>
    <row r="21" spans="1:6" x14ac:dyDescent="0.3">
      <c r="A21" s="32">
        <v>14</v>
      </c>
      <c r="B21" s="44" t="s">
        <v>334</v>
      </c>
      <c r="C21" s="29" t="s">
        <v>52</v>
      </c>
      <c r="D21" s="38">
        <f>SUMIF('Б8 Прочее'!K:K,"&gt;0")</f>
        <v>0</v>
      </c>
      <c r="E21" s="35">
        <f>SUMIF('Б8 Прочее'!J:J,"&gt;0")</f>
        <v>0</v>
      </c>
      <c r="F21" s="33">
        <f t="shared" si="0"/>
        <v>0</v>
      </c>
    </row>
    <row r="22" spans="1:6" x14ac:dyDescent="0.3">
      <c r="A22" s="45"/>
      <c r="B22" s="2" t="s">
        <v>339</v>
      </c>
      <c r="C22" s="2"/>
      <c r="D22" s="46">
        <f>SUM(D8:D13)</f>
        <v>0</v>
      </c>
      <c r="E22" s="47">
        <f>SUM(E8:E13)</f>
        <v>0</v>
      </c>
      <c r="F22" s="48">
        <f t="shared" si="0"/>
        <v>0</v>
      </c>
    </row>
    <row r="23" spans="1:6" x14ac:dyDescent="0.3">
      <c r="A23" s="49"/>
      <c r="B23" s="1" t="s">
        <v>340</v>
      </c>
      <c r="C23" s="1"/>
      <c r="D23" s="50">
        <f>SUM(D14:D21)</f>
        <v>16.666666666666668</v>
      </c>
      <c r="E23" s="51">
        <f>SUM(E14:E21)</f>
        <v>1666666.6666666667</v>
      </c>
      <c r="F23" s="52">
        <f t="shared" si="0"/>
        <v>1</v>
      </c>
    </row>
    <row r="24" spans="1:6" ht="15.6" x14ac:dyDescent="0.3">
      <c r="A24" s="53"/>
      <c r="B24" s="57" t="s">
        <v>341</v>
      </c>
      <c r="C24" s="57"/>
      <c r="D24" s="54">
        <f>D22+D23</f>
        <v>16.666666666666668</v>
      </c>
      <c r="E24" s="55">
        <f>E22+E23</f>
        <v>1666666.6666666667</v>
      </c>
      <c r="F24" s="56" t="s">
        <v>342</v>
      </c>
    </row>
    <row r="27" spans="1:6" ht="15.6" x14ac:dyDescent="0.3">
      <c r="A27" s="58" t="s">
        <v>343</v>
      </c>
      <c r="B27" s="58"/>
      <c r="C27" s="58"/>
      <c r="D27" s="58"/>
      <c r="E27" s="58"/>
      <c r="F27" s="58"/>
    </row>
    <row r="28" spans="1:6" x14ac:dyDescent="0.3">
      <c r="A28" s="12" t="s">
        <v>344</v>
      </c>
      <c r="B28" s="12"/>
      <c r="C28" s="12"/>
      <c r="D28" s="12"/>
      <c r="E28" s="12"/>
      <c r="F28" s="12"/>
    </row>
    <row r="29" spans="1:6" x14ac:dyDescent="0.3">
      <c r="A29" s="12" t="s">
        <v>345</v>
      </c>
      <c r="B29" s="12"/>
      <c r="C29" s="12"/>
      <c r="D29" s="12"/>
      <c r="E29" s="12"/>
      <c r="F29" s="12"/>
    </row>
    <row r="30" spans="1:6" x14ac:dyDescent="0.3">
      <c r="A30" s="12" t="s">
        <v>346</v>
      </c>
      <c r="B30" s="12"/>
      <c r="C30" s="12"/>
      <c r="D30" s="12"/>
      <c r="E30" s="12"/>
      <c r="F30" s="12"/>
    </row>
    <row r="31" spans="1:6" x14ac:dyDescent="0.3">
      <c r="A31" s="12" t="s">
        <v>347</v>
      </c>
      <c r="B31" s="12"/>
      <c r="C31" s="12"/>
      <c r="D31" s="12"/>
      <c r="E31" s="12"/>
      <c r="F31" s="12"/>
    </row>
    <row r="32" spans="1:6" x14ac:dyDescent="0.3">
      <c r="A32" s="12" t="s">
        <v>348</v>
      </c>
      <c r="B32" s="12"/>
      <c r="C32" s="12"/>
      <c r="D32" s="12"/>
      <c r="E32" s="12"/>
      <c r="F32" s="12"/>
    </row>
    <row r="33" spans="1:6" x14ac:dyDescent="0.3">
      <c r="A33" s="12" t="s">
        <v>349</v>
      </c>
      <c r="B33" s="12"/>
      <c r="C33" s="12"/>
      <c r="D33" s="12"/>
      <c r="E33" s="12"/>
      <c r="F33" s="12"/>
    </row>
    <row r="34" spans="1:6" x14ac:dyDescent="0.3">
      <c r="A34" s="12" t="s">
        <v>350</v>
      </c>
      <c r="B34" s="12"/>
      <c r="C34" s="12"/>
      <c r="D34" s="12"/>
      <c r="E34" s="12"/>
      <c r="F34" s="12"/>
    </row>
  </sheetData>
  <mergeCells count="13">
    <mergeCell ref="A32:F32"/>
    <mergeCell ref="A33:F33"/>
    <mergeCell ref="A34:F34"/>
    <mergeCell ref="A27:F27"/>
    <mergeCell ref="A28:F28"/>
    <mergeCell ref="A29:F29"/>
    <mergeCell ref="A30:F30"/>
    <mergeCell ref="A31:F31"/>
    <mergeCell ref="A1:F1"/>
    <mergeCell ref="A2:F2"/>
    <mergeCell ref="B22:C22"/>
    <mergeCell ref="B23:C23"/>
    <mergeCell ref="B24:C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Инструкция</vt:lpstr>
      <vt:lpstr>Продукт</vt:lpstr>
      <vt:lpstr>А1 Сырьё</vt:lpstr>
      <vt:lpstr>А2 Вспом материалы</vt:lpstr>
      <vt:lpstr>А3 Упаковка</vt:lpstr>
      <vt:lpstr>А4 Комплектующие</vt:lpstr>
      <vt:lpstr>А5 Энергоресурсы</vt:lpstr>
      <vt:lpstr>А6 Отходы</vt:lpstr>
      <vt:lpstr>Б1 Оборудование</vt:lpstr>
      <vt:lpstr>Б2 Оснастка</vt:lpstr>
      <vt:lpstr>Б3 Запчасти</vt:lpstr>
      <vt:lpstr>Б4 Расходники</vt:lpstr>
      <vt:lpstr>Б5 Материалы ТОиР</vt:lpstr>
      <vt:lpstr>Б6 СИЗ и санитария</vt:lpstr>
      <vt:lpstr>Б7 Услуги</vt:lpstr>
      <vt:lpstr>Б8 Прочее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</cp:lastModifiedBy>
  <cp:revision>0</cp:revision>
  <dcterms:created xsi:type="dcterms:W3CDTF">2026-05-25T09:40:05Z</dcterms:created>
  <dcterms:modified xsi:type="dcterms:W3CDTF">2026-05-25T10:29:55Z</dcterms:modified>
  <dc:language>en-US</dc:language>
</cp:coreProperties>
</file>