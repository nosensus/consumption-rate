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\Downloads\"/>
    </mc:Choice>
  </mc:AlternateContent>
  <xr:revisionPtr revIDLastSave="0" documentId="13_ncr:1_{DD556352-6772-42B3-A0A6-7A09F846570A}" xr6:coauthVersionLast="47" xr6:coauthVersionMax="47" xr10:uidLastSave="{00000000-0000-0000-0000-000000000000}"/>
  <bookViews>
    <workbookView xWindow="28680" yWindow="-120" windowWidth="29040" windowHeight="15840" tabRatio="845" activeTab="1" xr2:uid="{00000000-000D-0000-FFFF-FFFF00000000}"/>
  </bookViews>
  <sheets>
    <sheet name="Инструкция" sheetId="1" r:id="rId1"/>
    <sheet name="Продукт" sheetId="2" r:id="rId2"/>
    <sheet name="Лист1" sheetId="15" r:id="rId3"/>
    <sheet name="Сырьё" sheetId="3" r:id="rId4"/>
    <sheet name="Вспом материалы" sheetId="4" r:id="rId5"/>
    <sheet name="Упаковка" sheetId="5" r:id="rId6"/>
    <sheet name="Комплектующие" sheetId="6" r:id="rId7"/>
    <sheet name="Оборудование" sheetId="7" r:id="rId8"/>
    <sheet name="Оснастка" sheetId="8" r:id="rId9"/>
    <sheet name="Запчасти" sheetId="9" r:id="rId10"/>
    <sheet name="Расходники" sheetId="10" r:id="rId11"/>
    <sheet name="Энергоресурсы" sheetId="11" r:id="rId12"/>
    <sheet name="СИЗ и санитария" sheetId="12" r:id="rId13"/>
    <sheet name="Прочее" sheetId="13" r:id="rId14"/>
    <sheet name="Сводка" sheetId="14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5" l="1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E19" i="15"/>
  <c r="J19" i="15" s="1"/>
  <c r="E20" i="15"/>
  <c r="J20" i="15" s="1"/>
  <c r="E21" i="15"/>
  <c r="J21" i="15" s="1"/>
  <c r="E22" i="15"/>
  <c r="J22" i="15" s="1"/>
  <c r="E23" i="15"/>
  <c r="E24" i="15"/>
  <c r="E18" i="15"/>
  <c r="J18" i="15" s="1"/>
  <c r="E11" i="15"/>
  <c r="E12" i="15"/>
  <c r="E13" i="15"/>
  <c r="E14" i="15"/>
  <c r="E15" i="15"/>
  <c r="E16" i="15"/>
  <c r="E17" i="15"/>
  <c r="J17" i="15" s="1"/>
  <c r="E10" i="15"/>
  <c r="J10" i="15" s="1"/>
  <c r="E5" i="15"/>
  <c r="J5" i="15" s="1"/>
  <c r="E6" i="15"/>
  <c r="J6" i="15" s="1"/>
  <c r="E7" i="15"/>
  <c r="J7" i="15" s="1"/>
  <c r="E8" i="15"/>
  <c r="J8" i="15" s="1"/>
  <c r="E9" i="15"/>
  <c r="J9" i="15" s="1"/>
  <c r="C18" i="15"/>
  <c r="D18" i="15"/>
  <c r="C19" i="15"/>
  <c r="D19" i="15"/>
  <c r="C20" i="15"/>
  <c r="D20" i="15"/>
  <c r="C21" i="15"/>
  <c r="D21" i="15"/>
  <c r="C22" i="15"/>
  <c r="D22" i="15"/>
  <c r="C23" i="15"/>
  <c r="D23" i="15"/>
  <c r="C24" i="15"/>
  <c r="D24" i="15"/>
  <c r="C10" i="15"/>
  <c r="D10" i="15"/>
  <c r="C11" i="15"/>
  <c r="D11" i="15"/>
  <c r="C12" i="15"/>
  <c r="D12" i="15"/>
  <c r="C13" i="15"/>
  <c r="D13" i="15"/>
  <c r="C14" i="15"/>
  <c r="D14" i="15"/>
  <c r="C15" i="15"/>
  <c r="D15" i="15"/>
  <c r="C16" i="15"/>
  <c r="D16" i="15"/>
  <c r="C17" i="15"/>
  <c r="D17" i="15"/>
  <c r="C6" i="15"/>
  <c r="D6" i="15"/>
  <c r="C7" i="15"/>
  <c r="D7" i="15"/>
  <c r="C8" i="15"/>
  <c r="D8" i="15"/>
  <c r="C9" i="15"/>
  <c r="D9" i="15"/>
  <c r="C5" i="15"/>
  <c r="D5" i="15"/>
  <c r="B19" i="15"/>
  <c r="B20" i="15"/>
  <c r="B21" i="15"/>
  <c r="B22" i="15"/>
  <c r="B23" i="15"/>
  <c r="B24" i="15"/>
  <c r="A5" i="15"/>
  <c r="A10" i="15"/>
  <c r="A18" i="15"/>
  <c r="B18" i="15"/>
  <c r="B11" i="15"/>
  <c r="B12" i="15"/>
  <c r="B13" i="15"/>
  <c r="B14" i="15"/>
  <c r="B15" i="15"/>
  <c r="B16" i="15"/>
  <c r="B17" i="15"/>
  <c r="B10" i="15"/>
  <c r="B6" i="15"/>
  <c r="B7" i="15"/>
  <c r="B8" i="15"/>
  <c r="B9" i="15"/>
  <c r="B5" i="15"/>
  <c r="L6" i="4"/>
  <c r="I12" i="4"/>
  <c r="I11" i="4"/>
  <c r="I10" i="4"/>
  <c r="I9" i="4"/>
  <c r="I8" i="4"/>
  <c r="I7" i="4"/>
  <c r="I6" i="4"/>
  <c r="J16" i="15" l="1"/>
  <c r="J12" i="15"/>
  <c r="J13" i="15"/>
  <c r="J11" i="15"/>
  <c r="J15" i="15"/>
  <c r="J14" i="15"/>
  <c r="J24" i="15"/>
  <c r="J23" i="15"/>
  <c r="I10" i="3"/>
  <c r="I9" i="3"/>
  <c r="I8" i="3"/>
  <c r="I7" i="3"/>
  <c r="B6" i="14" l="1"/>
  <c r="C5" i="14"/>
  <c r="B5" i="14"/>
  <c r="B4" i="14"/>
  <c r="H33" i="13"/>
  <c r="J33" i="13" s="1"/>
  <c r="K33" i="13" s="1"/>
  <c r="J32" i="13"/>
  <c r="K32" i="13" s="1"/>
  <c r="H32" i="13"/>
  <c r="H31" i="13"/>
  <c r="J31" i="13" s="1"/>
  <c r="K31" i="13" s="1"/>
  <c r="J30" i="13"/>
  <c r="K30" i="13" s="1"/>
  <c r="H30" i="13"/>
  <c r="H29" i="13"/>
  <c r="J29" i="13" s="1"/>
  <c r="K29" i="13" s="1"/>
  <c r="H27" i="13"/>
  <c r="J27" i="13" s="1"/>
  <c r="K27" i="13" s="1"/>
  <c r="H26" i="13"/>
  <c r="J26" i="13" s="1"/>
  <c r="K26" i="13" s="1"/>
  <c r="J25" i="13"/>
  <c r="K25" i="13" s="1"/>
  <c r="H25" i="13"/>
  <c r="H24" i="13"/>
  <c r="J24" i="13" s="1"/>
  <c r="K24" i="13" s="1"/>
  <c r="H23" i="13"/>
  <c r="J23" i="13" s="1"/>
  <c r="K23" i="13" s="1"/>
  <c r="H22" i="13"/>
  <c r="J22" i="13" s="1"/>
  <c r="K22" i="13" s="1"/>
  <c r="J20" i="13"/>
  <c r="K20" i="13" s="1"/>
  <c r="H20" i="13"/>
  <c r="H19" i="13"/>
  <c r="J19" i="13" s="1"/>
  <c r="K19" i="13" s="1"/>
  <c r="H18" i="13"/>
  <c r="J18" i="13" s="1"/>
  <c r="K18" i="13" s="1"/>
  <c r="H17" i="13"/>
  <c r="J17" i="13" s="1"/>
  <c r="K17" i="13" s="1"/>
  <c r="J16" i="13"/>
  <c r="K16" i="13" s="1"/>
  <c r="H16" i="13"/>
  <c r="H15" i="13"/>
  <c r="J15" i="13" s="1"/>
  <c r="K15" i="13" s="1"/>
  <c r="H14" i="13"/>
  <c r="J14" i="13" s="1"/>
  <c r="K14" i="13" s="1"/>
  <c r="H12" i="13"/>
  <c r="J12" i="13" s="1"/>
  <c r="K12" i="13" s="1"/>
  <c r="J11" i="13"/>
  <c r="K11" i="13" s="1"/>
  <c r="H11" i="13"/>
  <c r="H10" i="13"/>
  <c r="J10" i="13" s="1"/>
  <c r="K10" i="13" s="1"/>
  <c r="H9" i="13"/>
  <c r="J9" i="13" s="1"/>
  <c r="K9" i="13" s="1"/>
  <c r="H8" i="13"/>
  <c r="J8" i="13" s="1"/>
  <c r="K8" i="13" s="1"/>
  <c r="J7" i="13"/>
  <c r="K7" i="13" s="1"/>
  <c r="H7" i="13"/>
  <c r="H6" i="13"/>
  <c r="J6" i="13" s="1"/>
  <c r="J38" i="12"/>
  <c r="K38" i="12" s="1"/>
  <c r="H38" i="12"/>
  <c r="H37" i="12"/>
  <c r="J37" i="12" s="1"/>
  <c r="K37" i="12" s="1"/>
  <c r="H36" i="12"/>
  <c r="J36" i="12" s="1"/>
  <c r="K36" i="12" s="1"/>
  <c r="J35" i="12"/>
  <c r="K35" i="12" s="1"/>
  <c r="H35" i="12"/>
  <c r="J34" i="12"/>
  <c r="K34" i="12" s="1"/>
  <c r="H34" i="12"/>
  <c r="H32" i="12"/>
  <c r="J32" i="12" s="1"/>
  <c r="K32" i="12" s="1"/>
  <c r="H31" i="12"/>
  <c r="J31" i="12" s="1"/>
  <c r="K31" i="12" s="1"/>
  <c r="H30" i="12"/>
  <c r="J30" i="12" s="1"/>
  <c r="K30" i="12" s="1"/>
  <c r="J29" i="12"/>
  <c r="K29" i="12" s="1"/>
  <c r="H29" i="12"/>
  <c r="H28" i="12"/>
  <c r="J28" i="12" s="1"/>
  <c r="K28" i="12" s="1"/>
  <c r="H27" i="12"/>
  <c r="J27" i="12" s="1"/>
  <c r="K27" i="12" s="1"/>
  <c r="H26" i="12"/>
  <c r="J26" i="12" s="1"/>
  <c r="K26" i="12" s="1"/>
  <c r="J25" i="12"/>
  <c r="K25" i="12" s="1"/>
  <c r="H25" i="12"/>
  <c r="H23" i="12"/>
  <c r="J23" i="12" s="1"/>
  <c r="K23" i="12" s="1"/>
  <c r="H22" i="12"/>
  <c r="J22" i="12" s="1"/>
  <c r="K22" i="12" s="1"/>
  <c r="H21" i="12"/>
  <c r="J21" i="12" s="1"/>
  <c r="K21" i="12" s="1"/>
  <c r="K20" i="12"/>
  <c r="J20" i="12"/>
  <c r="H20" i="12"/>
  <c r="H19" i="12"/>
  <c r="J19" i="12" s="1"/>
  <c r="K19" i="12" s="1"/>
  <c r="H18" i="12"/>
  <c r="J18" i="12" s="1"/>
  <c r="K18" i="12" s="1"/>
  <c r="H17" i="12"/>
  <c r="J17" i="12" s="1"/>
  <c r="K17" i="12" s="1"/>
  <c r="J16" i="12"/>
  <c r="K16" i="12" s="1"/>
  <c r="H16" i="12"/>
  <c r="H14" i="12"/>
  <c r="J14" i="12" s="1"/>
  <c r="K14" i="12" s="1"/>
  <c r="K13" i="12"/>
  <c r="H13" i="12"/>
  <c r="J13" i="12" s="1"/>
  <c r="H12" i="12"/>
  <c r="J12" i="12" s="1"/>
  <c r="K12" i="12" s="1"/>
  <c r="J11" i="12"/>
  <c r="K11" i="12" s="1"/>
  <c r="H11" i="12"/>
  <c r="H10" i="12"/>
  <c r="J10" i="12" s="1"/>
  <c r="K10" i="12" s="1"/>
  <c r="H9" i="12"/>
  <c r="J9" i="12" s="1"/>
  <c r="K9" i="12" s="1"/>
  <c r="H8" i="12"/>
  <c r="J8" i="12" s="1"/>
  <c r="K8" i="12" s="1"/>
  <c r="K7" i="12"/>
  <c r="J7" i="12"/>
  <c r="H7" i="12"/>
  <c r="H6" i="12"/>
  <c r="J6" i="12" s="1"/>
  <c r="H41" i="11"/>
  <c r="J41" i="11" s="1"/>
  <c r="K41" i="11" s="1"/>
  <c r="H40" i="11"/>
  <c r="J40" i="11" s="1"/>
  <c r="K40" i="11" s="1"/>
  <c r="J39" i="11"/>
  <c r="K39" i="11" s="1"/>
  <c r="H39" i="11"/>
  <c r="J38" i="11"/>
  <c r="K38" i="11" s="1"/>
  <c r="H38" i="11"/>
  <c r="H37" i="11"/>
  <c r="J37" i="11" s="1"/>
  <c r="K37" i="11" s="1"/>
  <c r="H35" i="11"/>
  <c r="J35" i="11" s="1"/>
  <c r="K35" i="11" s="1"/>
  <c r="J34" i="11"/>
  <c r="K34" i="11" s="1"/>
  <c r="H34" i="11"/>
  <c r="J33" i="11"/>
  <c r="K33" i="11" s="1"/>
  <c r="H33" i="11"/>
  <c r="H32" i="11"/>
  <c r="J32" i="11" s="1"/>
  <c r="K32" i="11" s="1"/>
  <c r="H31" i="11"/>
  <c r="J31" i="11" s="1"/>
  <c r="K31" i="11" s="1"/>
  <c r="J30" i="11"/>
  <c r="K30" i="11" s="1"/>
  <c r="H30" i="11"/>
  <c r="K29" i="11"/>
  <c r="J29" i="11"/>
  <c r="H29" i="11"/>
  <c r="H27" i="11"/>
  <c r="J27" i="11" s="1"/>
  <c r="K27" i="11" s="1"/>
  <c r="H26" i="11"/>
  <c r="J26" i="11" s="1"/>
  <c r="K26" i="11" s="1"/>
  <c r="J25" i="11"/>
  <c r="K25" i="11" s="1"/>
  <c r="H25" i="11"/>
  <c r="J24" i="11"/>
  <c r="K24" i="11" s="1"/>
  <c r="H24" i="11"/>
  <c r="H23" i="11"/>
  <c r="J23" i="11" s="1"/>
  <c r="K23" i="11" s="1"/>
  <c r="H22" i="11"/>
  <c r="J22" i="11" s="1"/>
  <c r="K22" i="11" s="1"/>
  <c r="J21" i="11"/>
  <c r="K21" i="11" s="1"/>
  <c r="H21" i="11"/>
  <c r="J19" i="11"/>
  <c r="K19" i="11" s="1"/>
  <c r="H19" i="11"/>
  <c r="H18" i="11"/>
  <c r="J18" i="11" s="1"/>
  <c r="K18" i="11" s="1"/>
  <c r="H17" i="11"/>
  <c r="J17" i="11" s="1"/>
  <c r="K17" i="11" s="1"/>
  <c r="J16" i="11"/>
  <c r="K16" i="11" s="1"/>
  <c r="H16" i="11"/>
  <c r="J15" i="11"/>
  <c r="K15" i="11" s="1"/>
  <c r="H15" i="11"/>
  <c r="H14" i="11"/>
  <c r="J14" i="11" s="1"/>
  <c r="K14" i="11" s="1"/>
  <c r="H13" i="11"/>
  <c r="J13" i="11" s="1"/>
  <c r="K13" i="11" s="1"/>
  <c r="J11" i="11"/>
  <c r="K11" i="11" s="1"/>
  <c r="H11" i="11"/>
  <c r="K10" i="11"/>
  <c r="J10" i="11"/>
  <c r="H10" i="11"/>
  <c r="H9" i="11"/>
  <c r="J9" i="11" s="1"/>
  <c r="K9" i="11" s="1"/>
  <c r="H8" i="11"/>
  <c r="J8" i="11" s="1"/>
  <c r="K8" i="11" s="1"/>
  <c r="J7" i="11"/>
  <c r="K7" i="11" s="1"/>
  <c r="H7" i="11"/>
  <c r="J6" i="11"/>
  <c r="H6" i="11"/>
  <c r="H36" i="10"/>
  <c r="J36" i="10" s="1"/>
  <c r="K36" i="10" s="1"/>
  <c r="H35" i="10"/>
  <c r="J35" i="10" s="1"/>
  <c r="K35" i="10" s="1"/>
  <c r="H34" i="10"/>
  <c r="J34" i="10" s="1"/>
  <c r="K34" i="10" s="1"/>
  <c r="H33" i="10"/>
  <c r="J33" i="10" s="1"/>
  <c r="K33" i="10" s="1"/>
  <c r="H32" i="10"/>
  <c r="J32" i="10" s="1"/>
  <c r="K32" i="10" s="1"/>
  <c r="H30" i="10"/>
  <c r="J30" i="10" s="1"/>
  <c r="K30" i="10" s="1"/>
  <c r="H29" i="10"/>
  <c r="J29" i="10" s="1"/>
  <c r="K29" i="10" s="1"/>
  <c r="H28" i="10"/>
  <c r="J28" i="10" s="1"/>
  <c r="K28" i="10" s="1"/>
  <c r="H27" i="10"/>
  <c r="J27" i="10" s="1"/>
  <c r="K27" i="10" s="1"/>
  <c r="K26" i="10"/>
  <c r="H26" i="10"/>
  <c r="J26" i="10" s="1"/>
  <c r="H25" i="10"/>
  <c r="J25" i="10" s="1"/>
  <c r="K25" i="10" s="1"/>
  <c r="H24" i="10"/>
  <c r="J24" i="10" s="1"/>
  <c r="K24" i="10" s="1"/>
  <c r="H23" i="10"/>
  <c r="J23" i="10" s="1"/>
  <c r="K23" i="10" s="1"/>
  <c r="H21" i="10"/>
  <c r="J21" i="10" s="1"/>
  <c r="K21" i="10" s="1"/>
  <c r="H20" i="10"/>
  <c r="J20" i="10" s="1"/>
  <c r="K20" i="10" s="1"/>
  <c r="H19" i="10"/>
  <c r="J19" i="10" s="1"/>
  <c r="K19" i="10" s="1"/>
  <c r="H18" i="10"/>
  <c r="J18" i="10" s="1"/>
  <c r="K18" i="10" s="1"/>
  <c r="H17" i="10"/>
  <c r="J17" i="10" s="1"/>
  <c r="K17" i="10" s="1"/>
  <c r="H16" i="10"/>
  <c r="J16" i="10" s="1"/>
  <c r="K16" i="10" s="1"/>
  <c r="H15" i="10"/>
  <c r="J15" i="10" s="1"/>
  <c r="K15" i="10" s="1"/>
  <c r="H14" i="10"/>
  <c r="J14" i="10" s="1"/>
  <c r="K14" i="10" s="1"/>
  <c r="K12" i="10"/>
  <c r="H12" i="10"/>
  <c r="J12" i="10" s="1"/>
  <c r="H11" i="10"/>
  <c r="J11" i="10" s="1"/>
  <c r="K11" i="10" s="1"/>
  <c r="H10" i="10"/>
  <c r="J10" i="10" s="1"/>
  <c r="K10" i="10" s="1"/>
  <c r="H9" i="10"/>
  <c r="J9" i="10" s="1"/>
  <c r="K9" i="10" s="1"/>
  <c r="H8" i="10"/>
  <c r="J8" i="10" s="1"/>
  <c r="K8" i="10" s="1"/>
  <c r="H7" i="10"/>
  <c r="J7" i="10" s="1"/>
  <c r="K7" i="10" s="1"/>
  <c r="H6" i="10"/>
  <c r="J6" i="10" s="1"/>
  <c r="K37" i="9"/>
  <c r="J37" i="9"/>
  <c r="H37" i="9"/>
  <c r="H36" i="9"/>
  <c r="J36" i="9" s="1"/>
  <c r="K36" i="9" s="1"/>
  <c r="H35" i="9"/>
  <c r="J35" i="9" s="1"/>
  <c r="K35" i="9" s="1"/>
  <c r="H34" i="9"/>
  <c r="J34" i="9" s="1"/>
  <c r="K34" i="9" s="1"/>
  <c r="K33" i="9"/>
  <c r="J33" i="9"/>
  <c r="H33" i="9"/>
  <c r="K31" i="9"/>
  <c r="H31" i="9"/>
  <c r="J31" i="9" s="1"/>
  <c r="K30" i="9"/>
  <c r="H30" i="9"/>
  <c r="J30" i="9" s="1"/>
  <c r="H29" i="9"/>
  <c r="J29" i="9" s="1"/>
  <c r="K29" i="9" s="1"/>
  <c r="J28" i="9"/>
  <c r="K28" i="9" s="1"/>
  <c r="H28" i="9"/>
  <c r="K27" i="9"/>
  <c r="H27" i="9"/>
  <c r="J27" i="9" s="1"/>
  <c r="H26" i="9"/>
  <c r="J26" i="9" s="1"/>
  <c r="K26" i="9" s="1"/>
  <c r="H25" i="9"/>
  <c r="J25" i="9" s="1"/>
  <c r="K25" i="9" s="1"/>
  <c r="J23" i="9"/>
  <c r="K23" i="9" s="1"/>
  <c r="H23" i="9"/>
  <c r="H22" i="9"/>
  <c r="J22" i="9" s="1"/>
  <c r="K22" i="9" s="1"/>
  <c r="H21" i="9"/>
  <c r="J21" i="9" s="1"/>
  <c r="K21" i="9" s="1"/>
  <c r="J20" i="9"/>
  <c r="K20" i="9" s="1"/>
  <c r="H20" i="9"/>
  <c r="K19" i="9"/>
  <c r="J19" i="9"/>
  <c r="H19" i="9"/>
  <c r="H18" i="9"/>
  <c r="J18" i="9" s="1"/>
  <c r="K18" i="9" s="1"/>
  <c r="H17" i="9"/>
  <c r="J17" i="9" s="1"/>
  <c r="K17" i="9" s="1"/>
  <c r="H16" i="9"/>
  <c r="J16" i="9" s="1"/>
  <c r="K16" i="9" s="1"/>
  <c r="K14" i="9"/>
  <c r="J14" i="9"/>
  <c r="H14" i="9"/>
  <c r="K13" i="9"/>
  <c r="H13" i="9"/>
  <c r="J13" i="9" s="1"/>
  <c r="K12" i="9"/>
  <c r="H12" i="9"/>
  <c r="J12" i="9" s="1"/>
  <c r="H11" i="9"/>
  <c r="J11" i="9" s="1"/>
  <c r="K11" i="9" s="1"/>
  <c r="J10" i="9"/>
  <c r="K10" i="9" s="1"/>
  <c r="H10" i="9"/>
  <c r="K9" i="9"/>
  <c r="H9" i="9"/>
  <c r="J9" i="9" s="1"/>
  <c r="H8" i="9"/>
  <c r="J8" i="9" s="1"/>
  <c r="K8" i="9" s="1"/>
  <c r="H7" i="9"/>
  <c r="J7" i="9" s="1"/>
  <c r="K7" i="9" s="1"/>
  <c r="J6" i="9"/>
  <c r="H6" i="9"/>
  <c r="J36" i="8"/>
  <c r="K36" i="8" s="1"/>
  <c r="H36" i="8"/>
  <c r="H35" i="8"/>
  <c r="J35" i="8" s="1"/>
  <c r="K35" i="8" s="1"/>
  <c r="J34" i="8"/>
  <c r="K34" i="8" s="1"/>
  <c r="H34" i="8"/>
  <c r="J33" i="8"/>
  <c r="K33" i="8" s="1"/>
  <c r="H33" i="8"/>
  <c r="J32" i="8"/>
  <c r="K32" i="8" s="1"/>
  <c r="H32" i="8"/>
  <c r="H30" i="8"/>
  <c r="J30" i="8" s="1"/>
  <c r="K30" i="8" s="1"/>
  <c r="J29" i="8"/>
  <c r="K29" i="8" s="1"/>
  <c r="H29" i="8"/>
  <c r="J28" i="8"/>
  <c r="K28" i="8" s="1"/>
  <c r="H28" i="8"/>
  <c r="J27" i="8"/>
  <c r="K27" i="8" s="1"/>
  <c r="H27" i="8"/>
  <c r="H26" i="8"/>
  <c r="J26" i="8" s="1"/>
  <c r="K26" i="8" s="1"/>
  <c r="H25" i="8"/>
  <c r="J25" i="8" s="1"/>
  <c r="K25" i="8" s="1"/>
  <c r="J24" i="8"/>
  <c r="K24" i="8" s="1"/>
  <c r="H24" i="8"/>
  <c r="K22" i="8"/>
  <c r="J22" i="8"/>
  <c r="H22" i="8"/>
  <c r="H21" i="8"/>
  <c r="J21" i="8" s="1"/>
  <c r="K21" i="8" s="1"/>
  <c r="H20" i="8"/>
  <c r="J20" i="8" s="1"/>
  <c r="K20" i="8" s="1"/>
  <c r="J19" i="8"/>
  <c r="K19" i="8" s="1"/>
  <c r="H19" i="8"/>
  <c r="J18" i="8"/>
  <c r="K18" i="8" s="1"/>
  <c r="H18" i="8"/>
  <c r="H17" i="8"/>
  <c r="J17" i="8" s="1"/>
  <c r="K17" i="8" s="1"/>
  <c r="J16" i="8"/>
  <c r="K16" i="8" s="1"/>
  <c r="H16" i="8"/>
  <c r="J15" i="8"/>
  <c r="K15" i="8" s="1"/>
  <c r="H15" i="8"/>
  <c r="J13" i="8"/>
  <c r="K13" i="8" s="1"/>
  <c r="H13" i="8"/>
  <c r="H12" i="8"/>
  <c r="J12" i="8" s="1"/>
  <c r="K12" i="8" s="1"/>
  <c r="J11" i="8"/>
  <c r="K11" i="8" s="1"/>
  <c r="H11" i="8"/>
  <c r="J10" i="8"/>
  <c r="K10" i="8" s="1"/>
  <c r="H10" i="8"/>
  <c r="J9" i="8"/>
  <c r="K9" i="8" s="1"/>
  <c r="H9" i="8"/>
  <c r="H8" i="8"/>
  <c r="J8" i="8" s="1"/>
  <c r="K8" i="8" s="1"/>
  <c r="H7" i="8"/>
  <c r="J7" i="8" s="1"/>
  <c r="K7" i="8" s="1"/>
  <c r="J6" i="8"/>
  <c r="H6" i="8"/>
  <c r="H36" i="7"/>
  <c r="J36" i="7" s="1"/>
  <c r="K36" i="7" s="1"/>
  <c r="J35" i="7"/>
  <c r="K35" i="7" s="1"/>
  <c r="H35" i="7"/>
  <c r="H34" i="7"/>
  <c r="J34" i="7" s="1"/>
  <c r="K34" i="7" s="1"/>
  <c r="H33" i="7"/>
  <c r="J33" i="7" s="1"/>
  <c r="K33" i="7" s="1"/>
  <c r="H32" i="7"/>
  <c r="J32" i="7" s="1"/>
  <c r="K32" i="7" s="1"/>
  <c r="K30" i="7"/>
  <c r="J30" i="7"/>
  <c r="H30" i="7"/>
  <c r="K29" i="7"/>
  <c r="H29" i="7"/>
  <c r="J29" i="7" s="1"/>
  <c r="J28" i="7"/>
  <c r="K28" i="7" s="1"/>
  <c r="H28" i="7"/>
  <c r="H27" i="7"/>
  <c r="J27" i="7" s="1"/>
  <c r="K27" i="7" s="1"/>
  <c r="H26" i="7"/>
  <c r="J26" i="7" s="1"/>
  <c r="K26" i="7" s="1"/>
  <c r="H25" i="7"/>
  <c r="J25" i="7" s="1"/>
  <c r="K25" i="7" s="1"/>
  <c r="J24" i="7"/>
  <c r="K24" i="7" s="1"/>
  <c r="H24" i="7"/>
  <c r="H22" i="7"/>
  <c r="J22" i="7" s="1"/>
  <c r="K22" i="7" s="1"/>
  <c r="J21" i="7"/>
  <c r="K21" i="7" s="1"/>
  <c r="H21" i="7"/>
  <c r="H20" i="7"/>
  <c r="J20" i="7" s="1"/>
  <c r="K20" i="7" s="1"/>
  <c r="H19" i="7"/>
  <c r="J19" i="7" s="1"/>
  <c r="K19" i="7" s="1"/>
  <c r="H18" i="7"/>
  <c r="J18" i="7" s="1"/>
  <c r="K18" i="7" s="1"/>
  <c r="K17" i="7"/>
  <c r="J17" i="7"/>
  <c r="H17" i="7"/>
  <c r="K16" i="7"/>
  <c r="H16" i="7"/>
  <c r="J16" i="7" s="1"/>
  <c r="J15" i="7"/>
  <c r="K15" i="7" s="1"/>
  <c r="H15" i="7"/>
  <c r="H13" i="7"/>
  <c r="J13" i="7" s="1"/>
  <c r="K13" i="7" s="1"/>
  <c r="H12" i="7"/>
  <c r="J12" i="7" s="1"/>
  <c r="K12" i="7" s="1"/>
  <c r="H11" i="7"/>
  <c r="J11" i="7" s="1"/>
  <c r="K11" i="7" s="1"/>
  <c r="J10" i="7"/>
  <c r="K10" i="7" s="1"/>
  <c r="H10" i="7"/>
  <c r="H9" i="7"/>
  <c r="J9" i="7" s="1"/>
  <c r="K9" i="7" s="1"/>
  <c r="J8" i="7"/>
  <c r="K8" i="7" s="1"/>
  <c r="H8" i="7"/>
  <c r="H7" i="7"/>
  <c r="J7" i="7" s="1"/>
  <c r="K7" i="7" s="1"/>
  <c r="H6" i="7"/>
  <c r="J6" i="7" s="1"/>
  <c r="H33" i="6"/>
  <c r="J33" i="6" s="1"/>
  <c r="K33" i="6" s="1"/>
  <c r="K32" i="6"/>
  <c r="J32" i="6"/>
  <c r="H32" i="6"/>
  <c r="H31" i="6"/>
  <c r="J31" i="6" s="1"/>
  <c r="K31" i="6" s="1"/>
  <c r="H30" i="6"/>
  <c r="J30" i="6" s="1"/>
  <c r="K30" i="6" s="1"/>
  <c r="H29" i="6"/>
  <c r="J29" i="6" s="1"/>
  <c r="K29" i="6" s="1"/>
  <c r="J27" i="6"/>
  <c r="K27" i="6" s="1"/>
  <c r="H27" i="6"/>
  <c r="K26" i="6"/>
  <c r="H26" i="6"/>
  <c r="J26" i="6" s="1"/>
  <c r="K25" i="6"/>
  <c r="H25" i="6"/>
  <c r="J25" i="6" s="1"/>
  <c r="J24" i="6"/>
  <c r="K24" i="6" s="1"/>
  <c r="H24" i="6"/>
  <c r="J23" i="6"/>
  <c r="K23" i="6" s="1"/>
  <c r="H23" i="6"/>
  <c r="H22" i="6"/>
  <c r="J22" i="6" s="1"/>
  <c r="K22" i="6" s="1"/>
  <c r="K20" i="6"/>
  <c r="H20" i="6"/>
  <c r="J20" i="6" s="1"/>
  <c r="H19" i="6"/>
  <c r="J19" i="6" s="1"/>
  <c r="K19" i="6" s="1"/>
  <c r="J18" i="6"/>
  <c r="K18" i="6" s="1"/>
  <c r="H18" i="6"/>
  <c r="H17" i="6"/>
  <c r="J17" i="6" s="1"/>
  <c r="K17" i="6" s="1"/>
  <c r="H16" i="6"/>
  <c r="J16" i="6" s="1"/>
  <c r="K16" i="6" s="1"/>
  <c r="H15" i="6"/>
  <c r="J15" i="6" s="1"/>
  <c r="K15" i="6" s="1"/>
  <c r="K14" i="6"/>
  <c r="J14" i="6"/>
  <c r="H14" i="6"/>
  <c r="H13" i="6"/>
  <c r="J13" i="6" s="1"/>
  <c r="K13" i="6" s="1"/>
  <c r="H11" i="6"/>
  <c r="J11" i="6" s="1"/>
  <c r="K11" i="6" s="1"/>
  <c r="H10" i="6"/>
  <c r="J10" i="6" s="1"/>
  <c r="K10" i="6" s="1"/>
  <c r="J9" i="6"/>
  <c r="K9" i="6" s="1"/>
  <c r="H9" i="6"/>
  <c r="K8" i="6"/>
  <c r="H8" i="6"/>
  <c r="J8" i="6" s="1"/>
  <c r="K7" i="6"/>
  <c r="H7" i="6"/>
  <c r="J7" i="6" s="1"/>
  <c r="J6" i="6"/>
  <c r="H6" i="6"/>
  <c r="J38" i="5"/>
  <c r="K38" i="5" s="1"/>
  <c r="H38" i="5"/>
  <c r="J37" i="5"/>
  <c r="K37" i="5" s="1"/>
  <c r="H37" i="5"/>
  <c r="H36" i="5"/>
  <c r="J36" i="5" s="1"/>
  <c r="K36" i="5" s="1"/>
  <c r="H35" i="5"/>
  <c r="J35" i="5" s="1"/>
  <c r="K35" i="5" s="1"/>
  <c r="J34" i="5"/>
  <c r="K34" i="5" s="1"/>
  <c r="H34" i="5"/>
  <c r="J32" i="5"/>
  <c r="K32" i="5" s="1"/>
  <c r="H32" i="5"/>
  <c r="H31" i="5"/>
  <c r="J31" i="5" s="1"/>
  <c r="K31" i="5" s="1"/>
  <c r="K30" i="5"/>
  <c r="J30" i="5"/>
  <c r="H30" i="5"/>
  <c r="J29" i="5"/>
  <c r="K29" i="5" s="1"/>
  <c r="H29" i="5"/>
  <c r="K28" i="5"/>
  <c r="J28" i="5"/>
  <c r="H28" i="5"/>
  <c r="H27" i="5"/>
  <c r="J27" i="5" s="1"/>
  <c r="K27" i="5" s="1"/>
  <c r="H26" i="5"/>
  <c r="J26" i="5" s="1"/>
  <c r="K26" i="5" s="1"/>
  <c r="J25" i="5"/>
  <c r="K25" i="5" s="1"/>
  <c r="H25" i="5"/>
  <c r="J24" i="5"/>
  <c r="K24" i="5" s="1"/>
  <c r="H24" i="5"/>
  <c r="H22" i="5"/>
  <c r="J22" i="5" s="1"/>
  <c r="K22" i="5" s="1"/>
  <c r="H21" i="5"/>
  <c r="J21" i="5" s="1"/>
  <c r="K21" i="5" s="1"/>
  <c r="J20" i="5"/>
  <c r="K20" i="5" s="1"/>
  <c r="H20" i="5"/>
  <c r="J19" i="5"/>
  <c r="K19" i="5" s="1"/>
  <c r="H19" i="5"/>
  <c r="H18" i="5"/>
  <c r="J18" i="5" s="1"/>
  <c r="K18" i="5" s="1"/>
  <c r="H17" i="5"/>
  <c r="J17" i="5" s="1"/>
  <c r="K17" i="5" s="1"/>
  <c r="J16" i="5"/>
  <c r="K16" i="5" s="1"/>
  <c r="H16" i="5"/>
  <c r="J15" i="5"/>
  <c r="K15" i="5" s="1"/>
  <c r="H15" i="5"/>
  <c r="H13" i="5"/>
  <c r="J13" i="5" s="1"/>
  <c r="K13" i="5" s="1"/>
  <c r="H12" i="5"/>
  <c r="J12" i="5" s="1"/>
  <c r="K12" i="5" s="1"/>
  <c r="J11" i="5"/>
  <c r="K11" i="5" s="1"/>
  <c r="H11" i="5"/>
  <c r="H10" i="5"/>
  <c r="J10" i="5" s="1"/>
  <c r="K10" i="5" s="1"/>
  <c r="H9" i="5"/>
  <c r="J9" i="5" s="1"/>
  <c r="K9" i="5" s="1"/>
  <c r="H8" i="5"/>
  <c r="J8" i="5" s="1"/>
  <c r="K8" i="5" s="1"/>
  <c r="J7" i="5"/>
  <c r="K7" i="5" s="1"/>
  <c r="H7" i="5"/>
  <c r="H6" i="5"/>
  <c r="J6" i="5" s="1"/>
  <c r="H34" i="4"/>
  <c r="J34" i="4" s="1"/>
  <c r="K34" i="4" s="1"/>
  <c r="H33" i="4"/>
  <c r="J33" i="4" s="1"/>
  <c r="K33" i="4" s="1"/>
  <c r="H32" i="4"/>
  <c r="J32" i="4" s="1"/>
  <c r="K32" i="4" s="1"/>
  <c r="H31" i="4"/>
  <c r="J31" i="4" s="1"/>
  <c r="K31" i="4" s="1"/>
  <c r="H30" i="4"/>
  <c r="J30" i="4" s="1"/>
  <c r="K30" i="4" s="1"/>
  <c r="H28" i="4"/>
  <c r="J28" i="4" s="1"/>
  <c r="K28" i="4" s="1"/>
  <c r="H27" i="4"/>
  <c r="J27" i="4" s="1"/>
  <c r="K27" i="4" s="1"/>
  <c r="H26" i="4"/>
  <c r="J26" i="4" s="1"/>
  <c r="K26" i="4" s="1"/>
  <c r="H25" i="4"/>
  <c r="J25" i="4" s="1"/>
  <c r="K25" i="4" s="1"/>
  <c r="K24" i="4"/>
  <c r="H24" i="4"/>
  <c r="J24" i="4" s="1"/>
  <c r="H23" i="4"/>
  <c r="J23" i="4" s="1"/>
  <c r="K23" i="4" s="1"/>
  <c r="H21" i="4"/>
  <c r="J21" i="4" s="1"/>
  <c r="K21" i="4" s="1"/>
  <c r="H20" i="4"/>
  <c r="J20" i="4" s="1"/>
  <c r="K20" i="4" s="1"/>
  <c r="H19" i="4"/>
  <c r="J19" i="4" s="1"/>
  <c r="K19" i="4" s="1"/>
  <c r="H18" i="4"/>
  <c r="J18" i="4" s="1"/>
  <c r="K18" i="4" s="1"/>
  <c r="H17" i="4"/>
  <c r="J17" i="4" s="1"/>
  <c r="K17" i="4" s="1"/>
  <c r="H16" i="4"/>
  <c r="J16" i="4" s="1"/>
  <c r="K16" i="4" s="1"/>
  <c r="H15" i="4"/>
  <c r="J15" i="4" s="1"/>
  <c r="K15" i="4" s="1"/>
  <c r="H13" i="4"/>
  <c r="J13" i="4" s="1"/>
  <c r="K13" i="4" s="1"/>
  <c r="H12" i="4"/>
  <c r="J12" i="4" s="1"/>
  <c r="K12" i="4" s="1"/>
  <c r="H11" i="4"/>
  <c r="J11" i="4" s="1"/>
  <c r="K11" i="4" s="1"/>
  <c r="H10" i="4"/>
  <c r="J10" i="4" s="1"/>
  <c r="K10" i="4" s="1"/>
  <c r="H9" i="4"/>
  <c r="J9" i="4" s="1"/>
  <c r="K9" i="4" s="1"/>
  <c r="H8" i="4"/>
  <c r="J8" i="4" s="1"/>
  <c r="K8" i="4" s="1"/>
  <c r="H7" i="4"/>
  <c r="J7" i="4" s="1"/>
  <c r="K7" i="4" s="1"/>
  <c r="H6" i="4"/>
  <c r="J6" i="4" s="1"/>
  <c r="H53" i="3"/>
  <c r="J53" i="3" s="1"/>
  <c r="K53" i="3" s="1"/>
  <c r="H52" i="3"/>
  <c r="J52" i="3" s="1"/>
  <c r="K52" i="3" s="1"/>
  <c r="J51" i="3"/>
  <c r="K51" i="3" s="1"/>
  <c r="H51" i="3"/>
  <c r="H50" i="3"/>
  <c r="J50" i="3" s="1"/>
  <c r="K50" i="3" s="1"/>
  <c r="H49" i="3"/>
  <c r="J49" i="3" s="1"/>
  <c r="K49" i="3" s="1"/>
  <c r="J47" i="3"/>
  <c r="K47" i="3" s="1"/>
  <c r="H47" i="3"/>
  <c r="J46" i="3"/>
  <c r="K46" i="3" s="1"/>
  <c r="H46" i="3"/>
  <c r="K45" i="3"/>
  <c r="H45" i="3"/>
  <c r="J45" i="3" s="1"/>
  <c r="H44" i="3"/>
  <c r="J44" i="3" s="1"/>
  <c r="K44" i="3" s="1"/>
  <c r="H43" i="3"/>
  <c r="J43" i="3" s="1"/>
  <c r="K43" i="3" s="1"/>
  <c r="K42" i="3"/>
  <c r="J42" i="3"/>
  <c r="H42" i="3"/>
  <c r="K40" i="3"/>
  <c r="H40" i="3"/>
  <c r="J40" i="3" s="1"/>
  <c r="K39" i="3"/>
  <c r="H39" i="3"/>
  <c r="J39" i="3" s="1"/>
  <c r="H38" i="3"/>
  <c r="J38" i="3" s="1"/>
  <c r="K38" i="3" s="1"/>
  <c r="J37" i="3"/>
  <c r="K37" i="3" s="1"/>
  <c r="H37" i="3"/>
  <c r="K36" i="3"/>
  <c r="H36" i="3"/>
  <c r="J36" i="3" s="1"/>
  <c r="K35" i="3"/>
  <c r="H35" i="3"/>
  <c r="J35" i="3" s="1"/>
  <c r="H33" i="3"/>
  <c r="J33" i="3" s="1"/>
  <c r="K33" i="3" s="1"/>
  <c r="J32" i="3"/>
  <c r="K32" i="3" s="1"/>
  <c r="H32" i="3"/>
  <c r="H31" i="3"/>
  <c r="J31" i="3" s="1"/>
  <c r="K31" i="3" s="1"/>
  <c r="K30" i="3"/>
  <c r="H30" i="3"/>
  <c r="J30" i="3" s="1"/>
  <c r="K29" i="3"/>
  <c r="J29" i="3"/>
  <c r="H29" i="3"/>
  <c r="J28" i="3"/>
  <c r="K28" i="3" s="1"/>
  <c r="H28" i="3"/>
  <c r="H26" i="3"/>
  <c r="J26" i="3" s="1"/>
  <c r="K26" i="3" s="1"/>
  <c r="H25" i="3"/>
  <c r="J25" i="3" s="1"/>
  <c r="K25" i="3" s="1"/>
  <c r="H24" i="3"/>
  <c r="J24" i="3" s="1"/>
  <c r="K24" i="3" s="1"/>
  <c r="K23" i="3"/>
  <c r="J23" i="3"/>
  <c r="H23" i="3"/>
  <c r="H22" i="3"/>
  <c r="J22" i="3" s="1"/>
  <c r="K22" i="3" s="1"/>
  <c r="H21" i="3"/>
  <c r="J21" i="3" s="1"/>
  <c r="K21" i="3" s="1"/>
  <c r="J19" i="3"/>
  <c r="K19" i="3" s="1"/>
  <c r="H19" i="3"/>
  <c r="J18" i="3"/>
  <c r="K18" i="3" s="1"/>
  <c r="H18" i="3"/>
  <c r="K17" i="3"/>
  <c r="H17" i="3"/>
  <c r="J17" i="3" s="1"/>
  <c r="H16" i="3"/>
  <c r="J16" i="3" s="1"/>
  <c r="K16" i="3" s="1"/>
  <c r="H15" i="3"/>
  <c r="J15" i="3" s="1"/>
  <c r="K15" i="3" s="1"/>
  <c r="K14" i="3"/>
  <c r="J14" i="3"/>
  <c r="H14" i="3"/>
  <c r="K12" i="3"/>
  <c r="H12" i="3"/>
  <c r="J12" i="3" s="1"/>
  <c r="K11" i="3"/>
  <c r="H11" i="3"/>
  <c r="J11" i="3" s="1"/>
  <c r="H10" i="3"/>
  <c r="J10" i="3" s="1"/>
  <c r="K10" i="3" s="1"/>
  <c r="H9" i="3"/>
  <c r="J9" i="3" s="1"/>
  <c r="K9" i="3" s="1"/>
  <c r="H8" i="3"/>
  <c r="J8" i="3" s="1"/>
  <c r="K8" i="3" s="1"/>
  <c r="H7" i="3"/>
  <c r="J7" i="3" s="1"/>
  <c r="K7" i="3" s="1"/>
  <c r="H6" i="3"/>
  <c r="J6" i="3" s="1"/>
  <c r="K6" i="7" l="1"/>
  <c r="J38" i="7"/>
  <c r="C13" i="14"/>
  <c r="J40" i="12"/>
  <c r="K6" i="3"/>
  <c r="J55" i="3"/>
  <c r="C9" i="14" s="1"/>
  <c r="K6" i="10"/>
  <c r="J38" i="10"/>
  <c r="C16" i="14" s="1"/>
  <c r="K6" i="8"/>
  <c r="J38" i="8"/>
  <c r="C14" i="14" s="1"/>
  <c r="J36" i="4"/>
  <c r="C10" i="14" s="1"/>
  <c r="K6" i="4"/>
  <c r="J40" i="5"/>
  <c r="C11" i="14" s="1"/>
  <c r="K6" i="9"/>
  <c r="C12" i="14"/>
  <c r="K6" i="6"/>
  <c r="J35" i="6"/>
  <c r="C19" i="14"/>
  <c r="J35" i="13"/>
  <c r="K6" i="13"/>
  <c r="J43" i="11"/>
  <c r="C17" i="14" s="1"/>
  <c r="K6" i="12"/>
  <c r="C18" i="14"/>
  <c r="K6" i="5"/>
  <c r="J39" i="9"/>
  <c r="C15" i="14" s="1"/>
  <c r="K6" i="11"/>
  <c r="K40" i="5" l="1"/>
  <c r="D11" i="14" s="1"/>
  <c r="K36" i="4"/>
  <c r="D10" i="14" s="1"/>
  <c r="K35" i="6"/>
  <c r="D12" i="14" s="1"/>
  <c r="C20" i="14"/>
  <c r="E16" i="14" s="1"/>
  <c r="K55" i="3"/>
  <c r="D9" i="14" s="1"/>
  <c r="K38" i="8"/>
  <c r="D14" i="14" s="1"/>
  <c r="K43" i="11"/>
  <c r="D17" i="14" s="1"/>
  <c r="K38" i="10"/>
  <c r="D16" i="14" s="1"/>
  <c r="K40" i="12"/>
  <c r="D18" i="14" s="1"/>
  <c r="K39" i="9"/>
  <c r="D15" i="14" s="1"/>
  <c r="K35" i="13"/>
  <c r="D19" i="14" s="1"/>
  <c r="K38" i="7"/>
  <c r="D13" i="14" s="1"/>
  <c r="E18" i="14" l="1"/>
  <c r="E14" i="14"/>
  <c r="E17" i="14"/>
  <c r="E9" i="14"/>
  <c r="E19" i="14"/>
  <c r="E12" i="14"/>
  <c r="E11" i="14"/>
  <c r="E13" i="14"/>
  <c r="E10" i="14"/>
  <c r="D20" i="14"/>
  <c r="E15" i="14"/>
  <c r="E20" i="14" l="1"/>
</calcChain>
</file>

<file path=xl/sharedStrings.xml><?xml version="1.0" encoding="utf-8"?>
<sst xmlns="http://schemas.openxmlformats.org/spreadsheetml/2006/main" count="800" uniqueCount="264">
  <si>
    <t>НОРМЫ РАСХОДОВ НА ПРОИЗВОДСТВО</t>
  </si>
  <si>
    <t>Универсальный шаблон для любого производства</t>
  </si>
  <si>
    <t>КАК ПОЛЬЗОВАТЬСЯ ШАБЛОНОМ</t>
  </si>
  <si>
    <t>1. Заполните лист "Продукт" — укажите, что и в каком объёме вы производите.</t>
  </si>
  <si>
    <t>2. Пройдите по листам категорий и заполните позиции, которые используете.</t>
  </si>
  <si>
    <t>3. В каждой категории есть пустые строки и блок "ДОБАВИТЬ ЕЩЁ ПУНКТ" — дописывайте свои.</t>
  </si>
  <si>
    <t>4. Колонка "Норма расхода на 1 ед. продукции" — главное поле для расчётов.</t>
  </si>
  <si>
    <t>5. Стоимость рассчитывается автоматически по формуле: Норма × Цена × Объём выпуска.</t>
  </si>
  <si>
    <t>6. Итоговая себестоимость собирается на листе "Сводка".</t>
  </si>
  <si>
    <t>ЦВЕТОВАЯ ЛЕГЕНДА:</t>
  </si>
  <si>
    <t>Заголовки таблиц</t>
  </si>
  <si>
    <t>Категория / группа</t>
  </si>
  <si>
    <t>Поле "ДОБАВИТЬ ЕЩЁ ПУНКТ"</t>
  </si>
  <si>
    <t>Итоговые строки</t>
  </si>
  <si>
    <t>Ключевые параметры — заполнить обязательно</t>
  </si>
  <si>
    <t>СТРУКТУРА ШАБЛОНА (категории)</t>
  </si>
  <si>
    <t>Лист</t>
  </si>
  <si>
    <t>Описание</t>
  </si>
  <si>
    <t>1. Продукт</t>
  </si>
  <si>
    <t>Информация о производимом продукте и плановом объёме выпуска</t>
  </si>
  <si>
    <t>2. Сырьё (основное)</t>
  </si>
  <si>
    <t>Материалы, из которых состоит готовая продукция</t>
  </si>
  <si>
    <t>3. Вспом. материалы</t>
  </si>
  <si>
    <t>Добавки, красители, смазки, реагенты</t>
  </si>
  <si>
    <t>4. Упаковка</t>
  </si>
  <si>
    <t>Тара, плёнка, этикетки, коробки, паллеты</t>
  </si>
  <si>
    <t>5. Комплектующие</t>
  </si>
  <si>
    <t>Готовые детали и узлы, встраиваемые в продукт</t>
  </si>
  <si>
    <t>6. Оборудование</t>
  </si>
  <si>
    <t>Основные средства: станки, линии, машины</t>
  </si>
  <si>
    <t>7. Оснастка и инструмент</t>
  </si>
  <si>
    <t>Пресс-формы, штампы, матрицы, режущий инструмент</t>
  </si>
  <si>
    <t>8. Запчасти (ЗИП)</t>
  </si>
  <si>
    <t>Запасные части для оборудования</t>
  </si>
  <si>
    <t>9. Расходники оборудования</t>
  </si>
  <si>
    <t>Масла, смазки, фильтры, СОЖ</t>
  </si>
  <si>
    <t>10. Энергоресурсы</t>
  </si>
  <si>
    <t>Электричество, вода, газ, пар, сжатый воздух</t>
  </si>
  <si>
    <t>11. СИЗ и санитария</t>
  </si>
  <si>
    <t>Перчатки, маски, спецодежда, моющие средства</t>
  </si>
  <si>
    <t>12. Прочее</t>
  </si>
  <si>
    <t>Любые позиции, не вошедшие в категории выше</t>
  </si>
  <si>
    <t>13. Сводка</t>
  </si>
  <si>
    <t>Итоговая себестоимость по всем категориям</t>
  </si>
  <si>
    <t>ИНФОРМАЦИЯ О ПРОДУКТЕ</t>
  </si>
  <si>
    <t>Параметр</t>
  </si>
  <si>
    <t>Значение</t>
  </si>
  <si>
    <t>Комментарий / пример</t>
  </si>
  <si>
    <t>Наименование продукта</t>
  </si>
  <si>
    <t>Например: Шприц одноразовый 10мл / Стул деревянный / Хлеб ржаной</t>
  </si>
  <si>
    <t>Единица измерения готовой продукции</t>
  </si>
  <si>
    <t>шт</t>
  </si>
  <si>
    <t>шт, кг, л, м, упаковка</t>
  </si>
  <si>
    <t>Плановый объём выпуска за период</t>
  </si>
  <si>
    <t>Используется для расчёта общих затрат</t>
  </si>
  <si>
    <t>Период (день/месяц/год)</t>
  </si>
  <si>
    <t>Дата составления норм</t>
  </si>
  <si>
    <t>Ответственный (ФИО)</t>
  </si>
  <si>
    <t>ОСНОВНОЕ СЫРЬЁ И МАТЕРИАЛЫ</t>
  </si>
  <si>
    <t>Заполните позиции по своему производству. Жёлтые ячейки — ключевые параметры. В конце есть блок "ДОБАВИТЬ ЕЩЁ ПУНКТ".</t>
  </si>
  <si>
    <t>№</t>
  </si>
  <si>
    <t>Подкатегория / группа</t>
  </si>
  <si>
    <t>Наименование позиции</t>
  </si>
  <si>
    <t>Артикул / код</t>
  </si>
  <si>
    <t>Ед. изм.</t>
  </si>
  <si>
    <t>Норма расхода на 1 ед. продукции</t>
  </si>
  <si>
    <t>% потерь / отходов</t>
  </si>
  <si>
    <t>Норма с учётом потерь</t>
  </si>
  <si>
    <t>Цена за единицу</t>
  </si>
  <si>
    <t>Стоимость на 1 ед. продукции</t>
  </si>
  <si>
    <t>Стоимость на весь объём выпуска</t>
  </si>
  <si>
    <t>Поставщик</t>
  </si>
  <si>
    <t>Срок поставки (дней)</t>
  </si>
  <si>
    <t>Мин. складской запас</t>
  </si>
  <si>
    <t>Примечание</t>
  </si>
  <si>
    <t>Полимеры и пластмассы</t>
  </si>
  <si>
    <t>кг</t>
  </si>
  <si>
    <t>Металлы и сплавы</t>
  </si>
  <si>
    <t>Сталь листовая</t>
  </si>
  <si>
    <t>Древесина и изделия</t>
  </si>
  <si>
    <t>Древесина (доска)</t>
  </si>
  <si>
    <t>м³</t>
  </si>
  <si>
    <t>Текстиль и волокна</t>
  </si>
  <si>
    <t>Ткань</t>
  </si>
  <si>
    <t>м</t>
  </si>
  <si>
    <t>Пищевое сырьё</t>
  </si>
  <si>
    <t>Мука</t>
  </si>
  <si>
    <t>Химическое сырьё</t>
  </si>
  <si>
    <t>Активное вещество</t>
  </si>
  <si>
    <t>+ ДОБАВИТЬ ЕЩЁ ПУНКТ (вставляйте строки выше или дописывайте здесь)</t>
  </si>
  <si>
    <t>ИТОГО ПО КАТЕГОРИИ:</t>
  </si>
  <si>
    <t>ВСПОМОГАТЕЛЬНЫЕ МАТЕРИАЛЫ И ДОБАВКИ</t>
  </si>
  <si>
    <t>Добавки и модификаторы</t>
  </si>
  <si>
    <t>Клеи, герметики, смазки технологические</t>
  </si>
  <si>
    <t>Клей промышленный</t>
  </si>
  <si>
    <t>Разделительная смазка для форм</t>
  </si>
  <si>
    <t>л</t>
  </si>
  <si>
    <t>Реактивы и химикаты процесса</t>
  </si>
  <si>
    <t>Реактив технологический</t>
  </si>
  <si>
    <t>УПАКОВОЧНЫЕ МАТЕРИАЛЫ</t>
  </si>
  <si>
    <t>Первичная упаковка (контакт с продуктом)</t>
  </si>
  <si>
    <t>Вторичная упаковка</t>
  </si>
  <si>
    <t>Коробка картонная</t>
  </si>
  <si>
    <t>Этикетка</t>
  </si>
  <si>
    <t>Инструкция (вкладыш)</t>
  </si>
  <si>
    <t>Транспортная упаковка</t>
  </si>
  <si>
    <t>Гофрокороб</t>
  </si>
  <si>
    <t>Стрейч-плёнка</t>
  </si>
  <si>
    <t>Скотч упаковочный</t>
  </si>
  <si>
    <t>Паллета деревянная</t>
  </si>
  <si>
    <t>КОМПЛЕКТУЮЩИЕ И ПОЛУФАБРИКАТЫ</t>
  </si>
  <si>
    <t>Готовые детали (покупные)</t>
  </si>
  <si>
    <t>Деталь / узел №1</t>
  </si>
  <si>
    <t>Крепёж и метизы</t>
  </si>
  <si>
    <t>Винт / болт</t>
  </si>
  <si>
    <t>Гайка</t>
  </si>
  <si>
    <t>Шайба</t>
  </si>
  <si>
    <t>Электронные компоненты</t>
  </si>
  <si>
    <t>Плата / модуль</t>
  </si>
  <si>
    <t>ОБОРУДОВАНИЕ (ОСНОВНЫЕ СРЕДСТВА)</t>
  </si>
  <si>
    <t>Основное технологическое оборудование</t>
  </si>
  <si>
    <t>Литейная машина (ТПА)</t>
  </si>
  <si>
    <t>Экструдер</t>
  </si>
  <si>
    <t>Сборочная линия</t>
  </si>
  <si>
    <t>Вспомогательное оборудование</t>
  </si>
  <si>
    <t>Компрессор</t>
  </si>
  <si>
    <t>Чиллер / охладитель</t>
  </si>
  <si>
    <t>Сушилка для сырья</t>
  </si>
  <si>
    <t>Транспортное и складское оборудование</t>
  </si>
  <si>
    <t>Конвейер</t>
  </si>
  <si>
    <t>Погрузчик / штабелёр</t>
  </si>
  <si>
    <t>ОСНАСТКА И ИНСТРУМЕНТ</t>
  </si>
  <si>
    <t>Формообразующая оснастка</t>
  </si>
  <si>
    <t>Пресс-форма</t>
  </si>
  <si>
    <t>Штамп</t>
  </si>
  <si>
    <t>Матрица / пуансон</t>
  </si>
  <si>
    <t>Режущий и обрабатывающий инструмент</t>
  </si>
  <si>
    <t>Фреза</t>
  </si>
  <si>
    <t>Резец</t>
  </si>
  <si>
    <t>Сверло</t>
  </si>
  <si>
    <t>Контрольно-измерительный инструмент</t>
  </si>
  <si>
    <t>Калибр / шаблон</t>
  </si>
  <si>
    <t>Штангенциркуль</t>
  </si>
  <si>
    <t>ЗАПАСНЫЕ ЧАСТИ (ЗИП)</t>
  </si>
  <si>
    <t>Механические запчасти</t>
  </si>
  <si>
    <t>Подшипник</t>
  </si>
  <si>
    <t>Ремень приводной</t>
  </si>
  <si>
    <t>Шестерня</t>
  </si>
  <si>
    <t>Шнек экструдера</t>
  </si>
  <si>
    <t>Электрические запчасти</t>
  </si>
  <si>
    <t>Нагревательный элемент (ТЭН)</t>
  </si>
  <si>
    <t>Датчик температуры</t>
  </si>
  <si>
    <t>Реле / контактор</t>
  </si>
  <si>
    <t>Пневматика и гидравлика</t>
  </si>
  <si>
    <t>Пневмоцилиндр</t>
  </si>
  <si>
    <t>Уплотнение / сальник</t>
  </si>
  <si>
    <t>РАСХОДНЫЕ МАТЕРИАЛЫ ДЛЯ ОБОРУДОВАНИЯ</t>
  </si>
  <si>
    <t>Смазочные материалы</t>
  </si>
  <si>
    <t>Масло индустриальное</t>
  </si>
  <si>
    <t>Смазка консистентная</t>
  </si>
  <si>
    <t>Технические жидкости</t>
  </si>
  <si>
    <t>СОЖ (смазочно-охлаждающая жидкость)</t>
  </si>
  <si>
    <t>Гидравлическая жидкость</t>
  </si>
  <si>
    <t>Антифриз</t>
  </si>
  <si>
    <t>Фильтры и очистка</t>
  </si>
  <si>
    <t>Фильтр воздушный</t>
  </si>
  <si>
    <t>Фильтр масляный</t>
  </si>
  <si>
    <t>Ветошь, салфетки технические</t>
  </si>
  <si>
    <t>ЭНЕРГОРЕСУРСЫ (ЭНЕРГИЯ И КОММУНАЛКА)</t>
  </si>
  <si>
    <t>Электричество</t>
  </si>
  <si>
    <t>Электроэнергия (производство)</t>
  </si>
  <si>
    <t>кВт·ч</t>
  </si>
  <si>
    <t>Газ и пар</t>
  </si>
  <si>
    <t>Природный газ</t>
  </si>
  <si>
    <t>Пар технологический</t>
  </si>
  <si>
    <t>т</t>
  </si>
  <si>
    <t>Вода</t>
  </si>
  <si>
    <t>Вода питьевая / техническая</t>
  </si>
  <si>
    <t>Вода очищенная / деминерализованная</t>
  </si>
  <si>
    <t>Сжатый воздух и газы</t>
  </si>
  <si>
    <t>Сжатый воздух</t>
  </si>
  <si>
    <t>Азот / аргон / прочие газы</t>
  </si>
  <si>
    <t>СИЗ, СПЕЦОДЕЖДА, САНИТАРИЯ</t>
  </si>
  <si>
    <t>Средства индивидуальной защиты</t>
  </si>
  <si>
    <t>Перчатки</t>
  </si>
  <si>
    <t>пара</t>
  </si>
  <si>
    <t>Маска / респиратор</t>
  </si>
  <si>
    <t>Защитные очки</t>
  </si>
  <si>
    <t>Бахилы</t>
  </si>
  <si>
    <t>Спецодежда</t>
  </si>
  <si>
    <t>Халат / комбинезон</t>
  </si>
  <si>
    <t>Обувь рабочая</t>
  </si>
  <si>
    <t>Шапочка / косынка</t>
  </si>
  <si>
    <t>Уборка и дезинфекция</t>
  </si>
  <si>
    <t>Моющее средство</t>
  </si>
  <si>
    <t>Дезинфицирующее средство</t>
  </si>
  <si>
    <t>Тряпки / мопы для уборки</t>
  </si>
  <si>
    <t>ПРОЧИЕ РАСХОДЫ (ЛЮБЫЕ ПОЗИЦИИ)</t>
  </si>
  <si>
    <t>Лабораторные и контрольные расходники</t>
  </si>
  <si>
    <t>Реактив для анализа</t>
  </si>
  <si>
    <t>Тест-полоска / индикатор</t>
  </si>
  <si>
    <t>Офис и канцелярия</t>
  </si>
  <si>
    <t>Бумага А4</t>
  </si>
  <si>
    <t>пачка</t>
  </si>
  <si>
    <t>Картридж для принтера</t>
  </si>
  <si>
    <t>Прочее</t>
  </si>
  <si>
    <t>Свой пункт</t>
  </si>
  <si>
    <t>СВОДНАЯ ТАБЛИЦА — СЕБЕСТОИМОСТЬ ПО КАТЕГОРИЯМ</t>
  </si>
  <si>
    <t>Данные подтягиваются автоматически из листов категорий</t>
  </si>
  <si>
    <t>Продукт:</t>
  </si>
  <si>
    <t>Объём выпуска:</t>
  </si>
  <si>
    <t>Период:</t>
  </si>
  <si>
    <t>Категория</t>
  </si>
  <si>
    <t>Стоимость на весь объём</t>
  </si>
  <si>
    <t>Доля в себестоимости</t>
  </si>
  <si>
    <t>Сырьё (основное)</t>
  </si>
  <si>
    <t>Вспомогательные материалы</t>
  </si>
  <si>
    <t>Упаковка</t>
  </si>
  <si>
    <t>Комплектующие</t>
  </si>
  <si>
    <t>Оборудование</t>
  </si>
  <si>
    <t>Оснастка и инструмент</t>
  </si>
  <si>
    <t>Запчасти (ЗИП)</t>
  </si>
  <si>
    <t>Расходники оборудования</t>
  </si>
  <si>
    <t>Энергоресурсы</t>
  </si>
  <si>
    <t>СИЗ и санитария</t>
  </si>
  <si>
    <t>ИТОГО</t>
  </si>
  <si>
    <t>ПОДСКАЗКИ</t>
  </si>
  <si>
    <t>• Чтобы изменить продукт или объём выпуска — отредактируйте лист "Продукт".</t>
  </si>
  <si>
    <t>• Чтобы добавить позицию в категорию — откройте нужный лист и заполните пустую строку или блок "ДОБАВИТЬ ЕЩЁ ПУНКТ".</t>
  </si>
  <si>
    <t>• Чтобы добавить целую новую категорию — скопируйте любой существующий лист, переименуйте и добавьте строку в эту сводку.</t>
  </si>
  <si>
    <t>• Жёлтые ячейки — ключевые поля (норма расхода и цена). Без них формулы не посчитают стоимость.</t>
  </si>
  <si>
    <t>• % потерь / отходов задавайте десятичной дробью или с символом % — формат уже настроен.</t>
  </si>
  <si>
    <t>Шприц 10 мл</t>
  </si>
  <si>
    <t>Полипропилен гранулированный</t>
  </si>
  <si>
    <t>Скользящая добавка Кродамид марки Crodamide OR BEAD</t>
  </si>
  <si>
    <t>Полиэтилен низкого давления марки I-1561</t>
  </si>
  <si>
    <t>Суперконцентрат на основе полиэтилена белый UN-0005</t>
  </si>
  <si>
    <t>Спирт этиловый</t>
  </si>
  <si>
    <t xml:space="preserve"> J-560M</t>
  </si>
  <si>
    <t>HDPE I-1561</t>
  </si>
  <si>
    <t>Пленка упаковочная блистерная, в рулонах, шириной 422 мм, толщиной 70мкм</t>
  </si>
  <si>
    <t>Бумага для упаковки медицинских изделий марки БГС-60, напечатанная, в рулонах, шириной 415мм</t>
  </si>
  <si>
    <t>Валик для нанесения печати</t>
  </si>
  <si>
    <t>Игла инъекционная однократного применения размерами 0,6*25мм или 0,7*32мм</t>
  </si>
  <si>
    <t>Игла инъекционная однократного применения размерами 0,7*32мм или 0,7*38мм</t>
  </si>
  <si>
    <t>Игла инъекционная однократного применения размерами 0,7*38мм или 0,8*38мм</t>
  </si>
  <si>
    <t>шт.</t>
  </si>
  <si>
    <t>Упаковочный лист для ящиков</t>
  </si>
  <si>
    <t>Инструкция на шприцы</t>
  </si>
  <si>
    <t>Ящики упаковочные из гофрированного картона размерами 600*400*430 мм</t>
  </si>
  <si>
    <t>Вкладыши для ящика, по 2шт. На ящик, размером 550*330мм</t>
  </si>
  <si>
    <t>Скобы для ящика размерами 15*35мм, по 2шт. На ящик</t>
  </si>
  <si>
    <t>Скотч лента, в рулонах, длиной 100м.</t>
  </si>
  <si>
    <t>Этикетки на шприцы с иглами</t>
  </si>
  <si>
    <t>Окись этилена</t>
  </si>
  <si>
    <t>Технические параметры</t>
  </si>
  <si>
    <t>Размер, Цвет, сорт ….</t>
  </si>
  <si>
    <t>Общая норма расходов исходя из объема производства</t>
  </si>
  <si>
    <t>Складской запас (ЕСТЬ)</t>
  </si>
  <si>
    <t>Потребность</t>
  </si>
  <si>
    <t>РАСЧЕТ ПОТРЕБНОСТИ НА 3 месяц</t>
  </si>
  <si>
    <t>день</t>
  </si>
  <si>
    <t>Общая норма на плановый объем продукции</t>
  </si>
  <si>
    <t>литр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</si>
</sst>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808080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i/>
      <sz val="11"/>
      <color rgb="FFB45F06"/>
      <name val="Arial"/>
      <charset val="1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D9E1F2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Border="1"/>
    <xf numFmtId="0" fontId="5" fillId="5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2" fillId="0" borderId="0" xfId="0" applyFont="1" applyBorder="1"/>
    <xf numFmtId="0" fontId="4" fillId="0" borderId="2" xfId="0" applyFont="1" applyBorder="1"/>
    <xf numFmtId="0" fontId="5" fillId="3" borderId="0" xfId="0" applyFont="1" applyFill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3" borderId="0" xfId="0" applyFont="1" applyFill="1"/>
    <xf numFmtId="0" fontId="5" fillId="0" borderId="1" xfId="0" applyFont="1" applyBorder="1"/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4" fontId="4" fillId="6" borderId="1" xfId="0" applyNumberFormat="1" applyFont="1" applyFill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4" fontId="5" fillId="5" borderId="1" xfId="0" applyNumberFormat="1" applyFont="1" applyFill="1" applyBorder="1"/>
    <xf numFmtId="0" fontId="5" fillId="5" borderId="1" xfId="0" applyFont="1" applyFill="1" applyBorder="1"/>
    <xf numFmtId="0" fontId="5" fillId="0" borderId="0" xfId="0" applyFont="1"/>
    <xf numFmtId="0" fontId="0" fillId="0" borderId="0" xfId="0"/>
    <xf numFmtId="164" fontId="5" fillId="5" borderId="1" xfId="0" applyNumberFormat="1" applyFont="1" applyFill="1" applyBorder="1"/>
    <xf numFmtId="4" fontId="5" fillId="7" borderId="1" xfId="0" applyNumberFormat="1" applyFont="1" applyFill="1" applyBorder="1"/>
    <xf numFmtId="0" fontId="5" fillId="8" borderId="1" xfId="0" applyFont="1" applyFill="1" applyBorder="1"/>
    <xf numFmtId="0" fontId="4" fillId="8" borderId="2" xfId="0" applyFont="1" applyFill="1" applyBorder="1"/>
    <xf numFmtId="0" fontId="0" fillId="8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F06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zoomScaleNormal="100" workbookViewId="0">
      <selection activeCell="A32" sqref="A32"/>
    </sheetView>
  </sheetViews>
  <sheetFormatPr defaultColWidth="8.6640625" defaultRowHeight="14.4" x14ac:dyDescent="0.3"/>
  <cols>
    <col min="1" max="1" width="32.44140625" customWidth="1"/>
    <col min="2" max="4" width="30" customWidth="1"/>
  </cols>
  <sheetData>
    <row r="1" spans="1:4" ht="30" customHeight="1" x14ac:dyDescent="0.4">
      <c r="A1" s="10" t="s">
        <v>0</v>
      </c>
      <c r="B1" s="10"/>
      <c r="C1" s="10"/>
      <c r="D1" s="10"/>
    </row>
    <row r="2" spans="1:4" x14ac:dyDescent="0.3">
      <c r="A2" s="9" t="s">
        <v>1</v>
      </c>
      <c r="B2" s="9"/>
      <c r="C2" s="9"/>
      <c r="D2" s="9"/>
    </row>
    <row r="4" spans="1:4" ht="15.6" x14ac:dyDescent="0.3">
      <c r="A4" s="11" t="s">
        <v>2</v>
      </c>
    </row>
    <row r="5" spans="1:4" x14ac:dyDescent="0.3">
      <c r="A5" s="8"/>
      <c r="B5" s="8"/>
      <c r="C5" s="8"/>
      <c r="D5" s="8"/>
    </row>
    <row r="6" spans="1:4" x14ac:dyDescent="0.3">
      <c r="A6" s="8" t="s">
        <v>3</v>
      </c>
      <c r="B6" s="8"/>
      <c r="C6" s="8"/>
      <c r="D6" s="8"/>
    </row>
    <row r="7" spans="1:4" x14ac:dyDescent="0.3">
      <c r="A7" s="8" t="s">
        <v>4</v>
      </c>
      <c r="B7" s="8"/>
      <c r="C7" s="8"/>
      <c r="D7" s="8"/>
    </row>
    <row r="8" spans="1:4" x14ac:dyDescent="0.3">
      <c r="A8" s="8" t="s">
        <v>5</v>
      </c>
      <c r="B8" s="8"/>
      <c r="C8" s="8"/>
      <c r="D8" s="8"/>
    </row>
    <row r="9" spans="1:4" x14ac:dyDescent="0.3">
      <c r="A9" s="8" t="s">
        <v>6</v>
      </c>
      <c r="B9" s="8"/>
      <c r="C9" s="8"/>
      <c r="D9" s="8"/>
    </row>
    <row r="10" spans="1:4" x14ac:dyDescent="0.3">
      <c r="A10" s="8" t="s">
        <v>7</v>
      </c>
      <c r="B10" s="8"/>
      <c r="C10" s="8"/>
      <c r="D10" s="8"/>
    </row>
    <row r="11" spans="1:4" x14ac:dyDescent="0.3">
      <c r="A11" s="8" t="s">
        <v>8</v>
      </c>
      <c r="B11" s="8"/>
      <c r="C11" s="8"/>
      <c r="D11" s="8"/>
    </row>
    <row r="12" spans="1:4" x14ac:dyDescent="0.3">
      <c r="A12" s="8"/>
      <c r="B12" s="8"/>
      <c r="C12" s="8"/>
      <c r="D12" s="8"/>
    </row>
    <row r="13" spans="1:4" x14ac:dyDescent="0.3">
      <c r="A13" s="8" t="s">
        <v>9</v>
      </c>
      <c r="B13" s="8"/>
      <c r="C13" s="8"/>
      <c r="D13" s="8"/>
    </row>
    <row r="15" spans="1:4" x14ac:dyDescent="0.3">
      <c r="A15" s="12"/>
      <c r="B15" s="13" t="s">
        <v>10</v>
      </c>
    </row>
    <row r="16" spans="1:4" x14ac:dyDescent="0.3">
      <c r="A16" s="14"/>
      <c r="B16" s="13" t="s">
        <v>11</v>
      </c>
    </row>
    <row r="17" spans="1:4" x14ac:dyDescent="0.3">
      <c r="A17" s="15"/>
      <c r="B17" s="13" t="s">
        <v>12</v>
      </c>
    </row>
    <row r="18" spans="1:4" x14ac:dyDescent="0.3">
      <c r="A18" s="16"/>
      <c r="B18" s="13" t="s">
        <v>13</v>
      </c>
    </row>
    <row r="19" spans="1:4" x14ac:dyDescent="0.3">
      <c r="A19" s="17"/>
      <c r="B19" s="13" t="s">
        <v>14</v>
      </c>
    </row>
    <row r="21" spans="1:4" ht="15.6" x14ac:dyDescent="0.3">
      <c r="A21" s="11" t="s">
        <v>15</v>
      </c>
    </row>
    <row r="22" spans="1:4" x14ac:dyDescent="0.3">
      <c r="A22" s="18" t="s">
        <v>16</v>
      </c>
      <c r="B22" s="7" t="s">
        <v>17</v>
      </c>
      <c r="C22" s="7"/>
      <c r="D22" s="7"/>
    </row>
    <row r="23" spans="1:4" s="36" customFormat="1" x14ac:dyDescent="0.3">
      <c r="A23" s="34" t="s">
        <v>18</v>
      </c>
      <c r="B23" s="35" t="s">
        <v>19</v>
      </c>
      <c r="C23" s="35"/>
      <c r="D23" s="35"/>
    </row>
    <row r="24" spans="1:4" x14ac:dyDescent="0.3">
      <c r="A24" s="19" t="s">
        <v>20</v>
      </c>
      <c r="B24" s="6" t="s">
        <v>21</v>
      </c>
      <c r="C24" s="6"/>
      <c r="D24" s="6"/>
    </row>
    <row r="25" spans="1:4" x14ac:dyDescent="0.3">
      <c r="A25" s="19" t="s">
        <v>22</v>
      </c>
      <c r="B25" s="6" t="s">
        <v>23</v>
      </c>
      <c r="C25" s="6"/>
      <c r="D25" s="6"/>
    </row>
    <row r="26" spans="1:4" x14ac:dyDescent="0.3">
      <c r="A26" s="19" t="s">
        <v>24</v>
      </c>
      <c r="B26" s="6" t="s">
        <v>25</v>
      </c>
      <c r="C26" s="6"/>
      <c r="D26" s="6"/>
    </row>
    <row r="27" spans="1:4" x14ac:dyDescent="0.3">
      <c r="A27" s="19" t="s">
        <v>26</v>
      </c>
      <c r="B27" s="6" t="s">
        <v>27</v>
      </c>
      <c r="C27" s="6"/>
      <c r="D27" s="6"/>
    </row>
    <row r="28" spans="1:4" x14ac:dyDescent="0.3">
      <c r="A28" s="19" t="s">
        <v>28</v>
      </c>
      <c r="B28" s="6" t="s">
        <v>29</v>
      </c>
      <c r="C28" s="6"/>
      <c r="D28" s="6"/>
    </row>
    <row r="29" spans="1:4" x14ac:dyDescent="0.3">
      <c r="A29" s="19" t="s">
        <v>30</v>
      </c>
      <c r="B29" s="6" t="s">
        <v>31</v>
      </c>
      <c r="C29" s="6"/>
      <c r="D29" s="6"/>
    </row>
    <row r="30" spans="1:4" x14ac:dyDescent="0.3">
      <c r="A30" s="19" t="s">
        <v>32</v>
      </c>
      <c r="B30" s="6" t="s">
        <v>33</v>
      </c>
      <c r="C30" s="6"/>
      <c r="D30" s="6"/>
    </row>
    <row r="31" spans="1:4" x14ac:dyDescent="0.3">
      <c r="A31" s="19" t="s">
        <v>34</v>
      </c>
      <c r="B31" s="6" t="s">
        <v>35</v>
      </c>
      <c r="C31" s="6"/>
      <c r="D31" s="6"/>
    </row>
    <row r="32" spans="1:4" x14ac:dyDescent="0.3">
      <c r="A32" s="19" t="s">
        <v>36</v>
      </c>
      <c r="B32" s="6" t="s">
        <v>37</v>
      </c>
      <c r="C32" s="6"/>
      <c r="D32" s="6"/>
    </row>
    <row r="33" spans="1:4" x14ac:dyDescent="0.3">
      <c r="A33" s="19" t="s">
        <v>38</v>
      </c>
      <c r="B33" s="6" t="s">
        <v>39</v>
      </c>
      <c r="C33" s="6"/>
      <c r="D33" s="6"/>
    </row>
    <row r="34" spans="1:4" x14ac:dyDescent="0.3">
      <c r="A34" s="19" t="s">
        <v>40</v>
      </c>
      <c r="B34" s="6" t="s">
        <v>41</v>
      </c>
      <c r="C34" s="6"/>
      <c r="D34" s="6"/>
    </row>
    <row r="35" spans="1:4" s="36" customFormat="1" x14ac:dyDescent="0.3">
      <c r="A35" s="34" t="s">
        <v>42</v>
      </c>
      <c r="B35" s="35" t="s">
        <v>43</v>
      </c>
      <c r="C35" s="35"/>
      <c r="D35" s="35"/>
    </row>
  </sheetData>
  <mergeCells count="25">
    <mergeCell ref="B31:D31"/>
    <mergeCell ref="B32:D32"/>
    <mergeCell ref="B33:D33"/>
    <mergeCell ref="B34:D34"/>
    <mergeCell ref="B35:D35"/>
    <mergeCell ref="B26:D26"/>
    <mergeCell ref="B27:D27"/>
    <mergeCell ref="B28:D28"/>
    <mergeCell ref="B29:D29"/>
    <mergeCell ref="B30:D30"/>
    <mergeCell ref="A13:D13"/>
    <mergeCell ref="B22:D22"/>
    <mergeCell ref="B23:D23"/>
    <mergeCell ref="B24:D24"/>
    <mergeCell ref="B25:D25"/>
    <mergeCell ref="A8:D8"/>
    <mergeCell ref="A9:D9"/>
    <mergeCell ref="A10:D10"/>
    <mergeCell ref="A11:D11"/>
    <mergeCell ref="A12:D12"/>
    <mergeCell ref="A1:D1"/>
    <mergeCell ref="A2:D2"/>
    <mergeCell ref="A5:D5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zoomScaleNormal="100" workbookViewId="0">
      <selection activeCell="B8" sqref="B8"/>
    </sheetView>
  </sheetViews>
  <sheetFormatPr defaultColWidth="8.6640625" defaultRowHeight="14.4" x14ac:dyDescent="0.3"/>
  <cols>
    <col min="1" max="1" width="35" customWidth="1"/>
    <col min="2" max="2" width="25" customWidth="1"/>
    <col min="3" max="3" width="45" customWidth="1"/>
  </cols>
  <sheetData>
    <row r="1" spans="1:3" ht="30" customHeight="1" x14ac:dyDescent="0.4">
      <c r="A1" s="10" t="s">
        <v>44</v>
      </c>
      <c r="B1" s="10"/>
      <c r="C1" s="10"/>
    </row>
    <row r="3" spans="1:3" x14ac:dyDescent="0.3">
      <c r="A3" s="20" t="s">
        <v>45</v>
      </c>
      <c r="B3" s="20" t="s">
        <v>46</v>
      </c>
      <c r="C3" s="20" t="s">
        <v>47</v>
      </c>
    </row>
    <row r="4" spans="1:3" ht="26.4" x14ac:dyDescent="0.3">
      <c r="A4" s="21" t="s">
        <v>48</v>
      </c>
      <c r="B4" s="22" t="s">
        <v>232</v>
      </c>
      <c r="C4" s="23" t="s">
        <v>49</v>
      </c>
    </row>
    <row r="5" spans="1:3" x14ac:dyDescent="0.3">
      <c r="A5" s="21" t="s">
        <v>255</v>
      </c>
      <c r="B5" s="22"/>
      <c r="C5" s="23" t="s">
        <v>256</v>
      </c>
    </row>
    <row r="6" spans="1:3" ht="26.4" x14ac:dyDescent="0.3">
      <c r="A6" s="21" t="s">
        <v>50</v>
      </c>
      <c r="B6" s="44" t="s">
        <v>263</v>
      </c>
      <c r="C6" s="23" t="s">
        <v>52</v>
      </c>
    </row>
    <row r="7" spans="1:3" ht="26.4" x14ac:dyDescent="0.3">
      <c r="A7" s="21" t="s">
        <v>53</v>
      </c>
      <c r="B7" s="22">
        <v>250000000</v>
      </c>
      <c r="C7" s="23" t="s">
        <v>54</v>
      </c>
    </row>
    <row r="8" spans="1:3" x14ac:dyDescent="0.3">
      <c r="A8" s="21" t="s">
        <v>55</v>
      </c>
      <c r="B8" s="44" t="s">
        <v>261</v>
      </c>
      <c r="C8" s="23"/>
    </row>
    <row r="9" spans="1:3" x14ac:dyDescent="0.3">
      <c r="A9" s="21" t="s">
        <v>56</v>
      </c>
      <c r="B9" s="22"/>
      <c r="C9" s="23"/>
    </row>
    <row r="10" spans="1:3" x14ac:dyDescent="0.3">
      <c r="A10" s="21" t="s">
        <v>57</v>
      </c>
      <c r="B10" s="22"/>
      <c r="C10" s="2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993A-7646-4460-9136-94CBFBB08D12}">
  <dimension ref="A2:J35"/>
  <sheetViews>
    <sheetView workbookViewId="0">
      <selection activeCell="J19" sqref="J19"/>
    </sheetView>
  </sheetViews>
  <sheetFormatPr defaultRowHeight="14.4" x14ac:dyDescent="0.3"/>
  <cols>
    <col min="1" max="1" width="21.5546875" customWidth="1"/>
    <col min="2" max="2" width="60.109375" customWidth="1"/>
    <col min="5" max="5" width="14.33203125" customWidth="1"/>
    <col min="6" max="6" width="19" style="31" customWidth="1"/>
    <col min="7" max="7" width="13.88671875" customWidth="1"/>
    <col min="8" max="9" width="13.88671875" style="31" customWidth="1"/>
    <col min="10" max="10" width="14.88671875" style="37" customWidth="1"/>
  </cols>
  <sheetData>
    <row r="2" spans="1:10" x14ac:dyDescent="0.3">
      <c r="B2" t="s">
        <v>257</v>
      </c>
    </row>
    <row r="4" spans="1:10" ht="57.6" x14ac:dyDescent="0.3">
      <c r="E4" s="43" t="s">
        <v>262</v>
      </c>
      <c r="F4" s="43" t="s">
        <v>260</v>
      </c>
      <c r="G4" t="s">
        <v>258</v>
      </c>
      <c r="J4" s="37" t="s">
        <v>259</v>
      </c>
    </row>
    <row r="5" spans="1:10" x14ac:dyDescent="0.3">
      <c r="A5" s="39" t="str">
        <f>Инструкция!$A$24</f>
        <v>2. Сырьё (основное)</v>
      </c>
      <c r="B5" s="40" t="str">
        <f>Сырьё!C6</f>
        <v>Полипропилен гранулированный</v>
      </c>
      <c r="C5" s="40" t="str">
        <f>Сырьё!D6</f>
        <v xml:space="preserve"> J-560M</v>
      </c>
      <c r="D5" s="40" t="str">
        <f>Сырьё!E6</f>
        <v>кг</v>
      </c>
      <c r="E5" s="41">
        <f>Сырьё!H6*Продукт!$B$7</f>
        <v>793905.45</v>
      </c>
      <c r="F5" s="41">
        <f t="shared" ref="F5:F24" si="0">ROUND(E5/12*10,0)</f>
        <v>661588</v>
      </c>
      <c r="G5" s="41">
        <v>400000</v>
      </c>
      <c r="J5" s="42">
        <f>IF((F5-G5)&lt;=0,"ДОСТАТОЧНО",F5-G5)</f>
        <v>261588</v>
      </c>
    </row>
    <row r="6" spans="1:10" x14ac:dyDescent="0.3">
      <c r="A6" s="39"/>
      <c r="B6" s="40" t="str">
        <f>Сырьё!C7</f>
        <v>Скользящая добавка Кродамид марки Crodamide OR BEAD</v>
      </c>
      <c r="C6" s="40">
        <f>Сырьё!D7</f>
        <v>0</v>
      </c>
      <c r="D6" s="40" t="str">
        <f>Сырьё!E7</f>
        <v>кг</v>
      </c>
      <c r="E6" s="41">
        <f>Сырьё!H7*Продукт!$B$7</f>
        <v>2381.0749999999998</v>
      </c>
      <c r="F6" s="41">
        <f t="shared" si="0"/>
        <v>1984</v>
      </c>
      <c r="G6" s="41">
        <v>3000</v>
      </c>
      <c r="J6" s="42" t="str">
        <f t="shared" ref="J6:J24" si="1">IF((F6-G6)&lt;=0,"ДОСТАТОЧНО",F6-G6)</f>
        <v>ДОСТАТОЧНО</v>
      </c>
    </row>
    <row r="7" spans="1:10" ht="28.8" x14ac:dyDescent="0.3">
      <c r="A7" s="39"/>
      <c r="B7" s="40" t="str">
        <f>Сырьё!C8</f>
        <v>Полиэтилен низкого давления марки I-1561</v>
      </c>
      <c r="C7" s="40" t="str">
        <f>Сырьё!D8</f>
        <v>HDPE I-1561</v>
      </c>
      <c r="D7" s="40" t="str">
        <f>Сырьё!E8</f>
        <v>кг</v>
      </c>
      <c r="E7" s="41">
        <f>Сырьё!H8*Продукт!$B$7</f>
        <v>769322.05</v>
      </c>
      <c r="F7" s="41">
        <f t="shared" si="0"/>
        <v>641102</v>
      </c>
      <c r="G7" s="41">
        <v>505000</v>
      </c>
      <c r="J7" s="42">
        <f t="shared" si="1"/>
        <v>136102</v>
      </c>
    </row>
    <row r="8" spans="1:10" x14ac:dyDescent="0.3">
      <c r="A8" s="39"/>
      <c r="B8" s="40" t="str">
        <f>Сырьё!C9</f>
        <v>Суперконцентрат на основе полиэтилена белый UN-0005</v>
      </c>
      <c r="C8" s="40">
        <f>Сырьё!D9</f>
        <v>0</v>
      </c>
      <c r="D8" s="40" t="str">
        <f>Сырьё!E9</f>
        <v>кг</v>
      </c>
      <c r="E8" s="41">
        <f>Сырьё!H9*Продукт!$B$7</f>
        <v>2307.8500000000004</v>
      </c>
      <c r="F8" s="41">
        <f t="shared" si="0"/>
        <v>1923</v>
      </c>
      <c r="G8" s="41">
        <v>5000</v>
      </c>
      <c r="J8" s="42" t="str">
        <f t="shared" si="1"/>
        <v>ДОСТАТОЧНО</v>
      </c>
    </row>
    <row r="9" spans="1:10" x14ac:dyDescent="0.3">
      <c r="A9" s="39"/>
      <c r="B9" s="40" t="str">
        <f>Сырьё!C10</f>
        <v>Спирт этиловый</v>
      </c>
      <c r="C9" s="40">
        <f>Сырьё!D10</f>
        <v>0</v>
      </c>
      <c r="D9" s="40" t="str">
        <f>Сырьё!E10</f>
        <v>л</v>
      </c>
      <c r="E9" s="41">
        <f>Сырьё!H10*Продукт!$B$7</f>
        <v>300.47500000000002</v>
      </c>
      <c r="F9" s="41">
        <f t="shared" si="0"/>
        <v>250</v>
      </c>
      <c r="G9" s="41">
        <v>500</v>
      </c>
      <c r="J9" s="42" t="str">
        <f t="shared" si="1"/>
        <v>ДОСТАТОЧНО</v>
      </c>
    </row>
    <row r="10" spans="1:10" x14ac:dyDescent="0.3">
      <c r="A10" s="39" t="str">
        <f>Инструкция!$A$26</f>
        <v>4. Упаковка</v>
      </c>
      <c r="B10" s="40" t="str">
        <f>Упаковка!C6</f>
        <v>Упаковочный лист для ящиков</v>
      </c>
      <c r="C10" s="40">
        <f>Упаковка!D6</f>
        <v>0</v>
      </c>
      <c r="D10" s="40" t="str">
        <f>Упаковка!E6</f>
        <v>шт.</v>
      </c>
      <c r="E10" s="41">
        <f>Упаковка!H6*Продукт!$B$7</f>
        <v>182150</v>
      </c>
      <c r="F10" s="41">
        <f t="shared" si="0"/>
        <v>151792</v>
      </c>
      <c r="G10" s="41">
        <v>150000</v>
      </c>
      <c r="J10" s="42">
        <f t="shared" si="1"/>
        <v>1792</v>
      </c>
    </row>
    <row r="11" spans="1:10" x14ac:dyDescent="0.3">
      <c r="A11" s="39"/>
      <c r="B11" s="40" t="str">
        <f>Упаковка!C7</f>
        <v>Инструкция на шприцы</v>
      </c>
      <c r="C11" s="40">
        <f>Упаковка!D7</f>
        <v>0</v>
      </c>
      <c r="D11" s="40" t="str">
        <f>Упаковка!E7</f>
        <v>шт.</v>
      </c>
      <c r="E11" s="41">
        <f>Упаковка!H7*Продукт!$B$7</f>
        <v>182150</v>
      </c>
      <c r="F11" s="41">
        <f t="shared" si="0"/>
        <v>151792</v>
      </c>
      <c r="G11" s="41">
        <v>150000</v>
      </c>
      <c r="J11" s="42">
        <f t="shared" si="1"/>
        <v>1792</v>
      </c>
    </row>
    <row r="12" spans="1:10" ht="28.8" x14ac:dyDescent="0.3">
      <c r="A12" s="39"/>
      <c r="B12" s="40" t="str">
        <f>Упаковка!C8</f>
        <v>Ящики упаковочные из гофрированного картона размерами 600*400*430 мм</v>
      </c>
      <c r="C12" s="40">
        <f>Упаковка!D8</f>
        <v>0</v>
      </c>
      <c r="D12" s="40" t="str">
        <f>Упаковка!E8</f>
        <v>шт.</v>
      </c>
      <c r="E12" s="41">
        <f>Упаковка!H8*Продукт!$B$7</f>
        <v>179474.99999999997</v>
      </c>
      <c r="F12" s="41">
        <f t="shared" si="0"/>
        <v>149563</v>
      </c>
      <c r="G12" s="41">
        <v>150000</v>
      </c>
      <c r="J12" s="42" t="str">
        <f t="shared" si="1"/>
        <v>ДОСТАТОЧНО</v>
      </c>
    </row>
    <row r="13" spans="1:10" x14ac:dyDescent="0.3">
      <c r="A13" s="39"/>
      <c r="B13" s="40" t="str">
        <f>Упаковка!C9</f>
        <v>Вкладыши для ящика, по 2шт. На ящик, размером 550*330мм</v>
      </c>
      <c r="C13" s="40">
        <f>Упаковка!D9</f>
        <v>0</v>
      </c>
      <c r="D13" s="40" t="str">
        <f>Упаковка!E9</f>
        <v>шт.</v>
      </c>
      <c r="E13" s="41">
        <f>Упаковка!H9*Продукт!$B$7</f>
        <v>357250</v>
      </c>
      <c r="F13" s="41">
        <f t="shared" si="0"/>
        <v>297708</v>
      </c>
      <c r="G13" s="41">
        <v>150000</v>
      </c>
      <c r="J13" s="42">
        <f t="shared" si="1"/>
        <v>147708</v>
      </c>
    </row>
    <row r="14" spans="1:10" x14ac:dyDescent="0.3">
      <c r="A14" s="39"/>
      <c r="B14" s="40" t="str">
        <f>Упаковка!C10</f>
        <v>Скобы для ящика размерами 15*35мм, по 2шт. На ящик</v>
      </c>
      <c r="C14" s="40">
        <f>Упаковка!D10</f>
        <v>0</v>
      </c>
      <c r="D14" s="40" t="str">
        <f>Упаковка!E10</f>
        <v>шт.</v>
      </c>
      <c r="E14" s="41">
        <f>Упаковка!H10*Продукт!$B$7</f>
        <v>371500</v>
      </c>
      <c r="F14" s="41">
        <f t="shared" si="0"/>
        <v>309583</v>
      </c>
      <c r="G14" s="41">
        <v>150000</v>
      </c>
      <c r="J14" s="42">
        <f t="shared" si="1"/>
        <v>159583</v>
      </c>
    </row>
    <row r="15" spans="1:10" x14ac:dyDescent="0.3">
      <c r="A15" s="39"/>
      <c r="B15" s="40" t="str">
        <f>Упаковка!C11</f>
        <v>Скотч лента, в рулонах, длиной 100м.</v>
      </c>
      <c r="C15" s="40">
        <f>Упаковка!D11</f>
        <v>0</v>
      </c>
      <c r="D15" s="40" t="str">
        <f>Упаковка!E11</f>
        <v>шт.</v>
      </c>
      <c r="E15" s="41">
        <f>Упаковка!H11*Продукт!$B$7</f>
        <v>1485.0000000000002</v>
      </c>
      <c r="F15" s="41">
        <f t="shared" si="0"/>
        <v>1238</v>
      </c>
      <c r="G15" s="41">
        <v>150000</v>
      </c>
      <c r="J15" s="42" t="str">
        <f t="shared" si="1"/>
        <v>ДОСТАТОЧНО</v>
      </c>
    </row>
    <row r="16" spans="1:10" x14ac:dyDescent="0.3">
      <c r="A16" s="39"/>
      <c r="B16" s="40" t="str">
        <f>Упаковка!C12</f>
        <v>Этикетки на шприцы с иглами</v>
      </c>
      <c r="C16" s="40">
        <f>Упаковка!D12</f>
        <v>0</v>
      </c>
      <c r="D16" s="40" t="str">
        <f>Упаковка!E12</f>
        <v>шт.</v>
      </c>
      <c r="E16" s="41">
        <f>Упаковка!H12*Продукт!$B$7</f>
        <v>182150</v>
      </c>
      <c r="F16" s="41">
        <f t="shared" si="0"/>
        <v>151792</v>
      </c>
      <c r="G16" s="41">
        <v>150000</v>
      </c>
      <c r="J16" s="42">
        <f t="shared" si="1"/>
        <v>1792</v>
      </c>
    </row>
    <row r="17" spans="1:10" x14ac:dyDescent="0.3">
      <c r="A17" s="39"/>
      <c r="B17" s="40" t="str">
        <f>Упаковка!C13</f>
        <v>Окись этилена</v>
      </c>
      <c r="C17" s="40">
        <f>Упаковка!D13</f>
        <v>0</v>
      </c>
      <c r="D17" s="40" t="str">
        <f>Упаковка!E13</f>
        <v>кг</v>
      </c>
      <c r="E17" s="41">
        <f>Упаковка!H13*Продукт!$B$7</f>
        <v>9337.5</v>
      </c>
      <c r="F17" s="41">
        <f t="shared" si="0"/>
        <v>7781</v>
      </c>
      <c r="G17" s="41">
        <v>150000</v>
      </c>
      <c r="J17" s="42" t="str">
        <f t="shared" si="1"/>
        <v>ДОСТАТОЧНО</v>
      </c>
    </row>
    <row r="18" spans="1:10" ht="28.8" x14ac:dyDescent="0.3">
      <c r="A18" s="38" t="str">
        <f>Инструкция!$A$25</f>
        <v>3. Вспом. материалы</v>
      </c>
      <c r="B18" s="40" t="str">
        <f>'Вспом материалы'!C6</f>
        <v>Пленка упаковочная блистерная, в рулонах, шириной 422 мм, толщиной 70мкм</v>
      </c>
      <c r="C18" s="40">
        <f>'Вспом материалы'!D6</f>
        <v>0</v>
      </c>
      <c r="D18" s="40" t="str">
        <f>'Вспом материалы'!E6</f>
        <v>кг</v>
      </c>
      <c r="E18" s="41">
        <f>'Вспом материалы'!H6*Продукт!$B$7</f>
        <v>106072.72500000001</v>
      </c>
      <c r="F18" s="41">
        <f t="shared" si="0"/>
        <v>88394</v>
      </c>
      <c r="G18" s="41">
        <v>150000</v>
      </c>
      <c r="J18" s="42" t="str">
        <f t="shared" si="1"/>
        <v>ДОСТАТОЧНО</v>
      </c>
    </row>
    <row r="19" spans="1:10" ht="28.8" x14ac:dyDescent="0.3">
      <c r="A19" s="38"/>
      <c r="B19" s="40" t="str">
        <f>'Вспом материалы'!C7</f>
        <v>Бумага для упаковки медицинских изделий марки БГС-60, напечатанная, в рулонах, шириной 415мм</v>
      </c>
      <c r="C19" s="40">
        <f>'Вспом материалы'!D7</f>
        <v>0</v>
      </c>
      <c r="D19" s="40" t="str">
        <f>'Вспом материалы'!E7</f>
        <v>кг</v>
      </c>
      <c r="E19" s="41">
        <f>'Вспом материалы'!H7*Продукт!$B$7</f>
        <v>102148.875</v>
      </c>
      <c r="F19" s="41">
        <f t="shared" si="0"/>
        <v>85124</v>
      </c>
      <c r="G19" s="41">
        <v>150000</v>
      </c>
      <c r="J19" s="42" t="str">
        <f t="shared" si="1"/>
        <v>ДОСТАТОЧНО</v>
      </c>
    </row>
    <row r="20" spans="1:10" x14ac:dyDescent="0.3">
      <c r="A20" s="38"/>
      <c r="B20" s="40" t="str">
        <f>'Вспом материалы'!C8</f>
        <v>Валик для нанесения печати</v>
      </c>
      <c r="C20" s="40">
        <f>'Вспом материалы'!D8</f>
        <v>0</v>
      </c>
      <c r="D20" s="40" t="str">
        <f>'Вспом материалы'!E8</f>
        <v>шт.</v>
      </c>
      <c r="E20" s="41">
        <f>'Вспом материалы'!H8*Продукт!$B$7</f>
        <v>2408.85</v>
      </c>
      <c r="F20" s="41">
        <f t="shared" si="0"/>
        <v>2007</v>
      </c>
      <c r="G20" s="41">
        <v>150000</v>
      </c>
      <c r="J20" s="42" t="str">
        <f t="shared" si="1"/>
        <v>ДОСТАТОЧНО</v>
      </c>
    </row>
    <row r="21" spans="1:10" ht="28.8" x14ac:dyDescent="0.3">
      <c r="A21" s="38"/>
      <c r="B21" s="40" t="str">
        <f>'Вспом материалы'!C9</f>
        <v>Игла инъекционная однократного применения размерами 0,6*25мм или 0,7*32мм</v>
      </c>
      <c r="C21" s="40">
        <f>'Вспом материалы'!D9</f>
        <v>0</v>
      </c>
      <c r="D21" s="40" t="str">
        <f>'Вспом материалы'!E9</f>
        <v>шт.</v>
      </c>
      <c r="E21" s="41">
        <f>'Вспом материалы'!H9*Продукт!$B$7</f>
        <v>0</v>
      </c>
      <c r="F21" s="41">
        <f t="shared" si="0"/>
        <v>0</v>
      </c>
      <c r="G21" s="41"/>
      <c r="J21" s="42" t="str">
        <f t="shared" si="1"/>
        <v>ДОСТАТОЧНО</v>
      </c>
    </row>
    <row r="22" spans="1:10" ht="28.8" x14ac:dyDescent="0.3">
      <c r="A22" s="38"/>
      <c r="B22" s="40" t="str">
        <f>'Вспом материалы'!C10</f>
        <v>Игла инъекционная однократного применения размерами 0,7*32мм или 0,7*38мм</v>
      </c>
      <c r="C22" s="40">
        <f>'Вспом материалы'!D10</f>
        <v>0</v>
      </c>
      <c r="D22" s="40" t="str">
        <f>'Вспом материалы'!E10</f>
        <v>шт.</v>
      </c>
      <c r="E22" s="41">
        <f>'Вспом материалы'!H10*Продукт!$B$7</f>
        <v>0</v>
      </c>
      <c r="F22" s="41">
        <f t="shared" si="0"/>
        <v>0</v>
      </c>
      <c r="G22" s="41"/>
      <c r="J22" s="42" t="str">
        <f t="shared" si="1"/>
        <v>ДОСТАТОЧНО</v>
      </c>
    </row>
    <row r="23" spans="1:10" ht="28.8" x14ac:dyDescent="0.3">
      <c r="A23" s="38"/>
      <c r="B23" s="40" t="str">
        <f>'Вспом материалы'!C11</f>
        <v>Игла инъекционная однократного применения размерами 0,7*38мм или 0,8*38мм</v>
      </c>
      <c r="C23" s="40">
        <f>'Вспом материалы'!D11</f>
        <v>0</v>
      </c>
      <c r="D23" s="40" t="str">
        <f>'Вспом материалы'!E11</f>
        <v>шт.</v>
      </c>
      <c r="E23" s="41">
        <f>'Вспом материалы'!H11*Продукт!$B$7</f>
        <v>252626250</v>
      </c>
      <c r="F23" s="41">
        <f t="shared" si="0"/>
        <v>210521875</v>
      </c>
      <c r="G23" s="41">
        <v>40000000</v>
      </c>
      <c r="J23" s="42">
        <f t="shared" si="1"/>
        <v>170521875</v>
      </c>
    </row>
    <row r="24" spans="1:10" x14ac:dyDescent="0.3">
      <c r="A24" s="38"/>
      <c r="B24" s="40" t="str">
        <f>'Вспом материалы'!C12</f>
        <v>Спирт этиловый</v>
      </c>
      <c r="C24" s="40">
        <f>'Вспом материалы'!D12</f>
        <v>0</v>
      </c>
      <c r="D24" s="40" t="str">
        <f>'Вспом материалы'!E12</f>
        <v>л</v>
      </c>
      <c r="E24" s="41">
        <f>'Вспом материалы'!H12*Продукт!$B$7</f>
        <v>154.02500000000001</v>
      </c>
      <c r="F24" s="41">
        <f t="shared" si="0"/>
        <v>128</v>
      </c>
      <c r="G24" s="41">
        <v>4</v>
      </c>
      <c r="J24" s="42">
        <f t="shared" si="1"/>
        <v>124</v>
      </c>
    </row>
    <row r="25" spans="1:10" x14ac:dyDescent="0.3">
      <c r="B25" s="31"/>
    </row>
    <row r="26" spans="1:10" x14ac:dyDescent="0.3">
      <c r="B26" s="31"/>
    </row>
    <row r="27" spans="1:10" x14ac:dyDescent="0.3">
      <c r="B27" s="31"/>
    </row>
    <row r="28" spans="1:10" x14ac:dyDescent="0.3">
      <c r="B28" s="31"/>
    </row>
    <row r="29" spans="1:10" x14ac:dyDescent="0.3">
      <c r="B29" s="31"/>
    </row>
    <row r="30" spans="1:10" x14ac:dyDescent="0.3">
      <c r="B30" s="31"/>
    </row>
    <row r="31" spans="1:10" x14ac:dyDescent="0.3">
      <c r="B31" s="31"/>
    </row>
    <row r="32" spans="1:10" x14ac:dyDescent="0.3">
      <c r="B32" s="31"/>
    </row>
    <row r="33" spans="2:2" x14ac:dyDescent="0.3">
      <c r="B33" s="31"/>
    </row>
    <row r="34" spans="2:2" x14ac:dyDescent="0.3">
      <c r="B34" s="31"/>
    </row>
    <row r="35" spans="2:2" x14ac:dyDescent="0.3">
      <c r="B35" s="31"/>
    </row>
  </sheetData>
  <mergeCells count="3">
    <mergeCell ref="A5:A9"/>
    <mergeCell ref="A10:A17"/>
    <mergeCell ref="A18:A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6" sqref="F6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8" width="19.109375" customWidth="1"/>
    <col min="9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87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6.4" x14ac:dyDescent="0.3">
      <c r="A6" s="24">
        <v>1</v>
      </c>
      <c r="B6" s="24" t="s">
        <v>75</v>
      </c>
      <c r="C6" s="24" t="s">
        <v>233</v>
      </c>
      <c r="D6" s="24" t="s">
        <v>238</v>
      </c>
      <c r="E6" s="24" t="s">
        <v>76</v>
      </c>
      <c r="F6" s="22">
        <v>3.1441799999999999E-3</v>
      </c>
      <c r="G6" s="25">
        <v>0.01</v>
      </c>
      <c r="H6" s="24">
        <f t="shared" ref="H6:H12" si="0">IF(F6="","",F6*(1+IFERROR(G6,0)))</f>
        <v>3.1756217999999998E-3</v>
      </c>
      <c r="I6" s="26">
        <v>15000</v>
      </c>
      <c r="J6" s="27">
        <f t="shared" ref="J6:J12" si="1">IFERROR(H6*I6,"")</f>
        <v>47.634326999999999</v>
      </c>
      <c r="K6" s="27">
        <f>IFERROR(J6*Продукт!B7,"")</f>
        <v>11908581750</v>
      </c>
      <c r="L6" s="24"/>
      <c r="M6" s="24"/>
      <c r="N6" s="24"/>
      <c r="O6" s="24"/>
    </row>
    <row r="7" spans="1:15" ht="26.4" x14ac:dyDescent="0.3">
      <c r="A7" s="24">
        <v>2</v>
      </c>
      <c r="B7" s="24" t="s">
        <v>75</v>
      </c>
      <c r="C7" s="24" t="s">
        <v>234</v>
      </c>
      <c r="D7" s="24"/>
      <c r="E7" s="24" t="s">
        <v>76</v>
      </c>
      <c r="F7" s="22">
        <v>9.4299999999999995E-6</v>
      </c>
      <c r="G7" s="25">
        <v>0.01</v>
      </c>
      <c r="H7" s="24">
        <f t="shared" si="0"/>
        <v>9.5242999999999996E-6</v>
      </c>
      <c r="I7" s="26">
        <f>126.6*1000</f>
        <v>126600</v>
      </c>
      <c r="J7" s="27">
        <f t="shared" si="1"/>
        <v>1.2057763799999999</v>
      </c>
      <c r="K7" s="27">
        <f>IFERROR(J7*Продукт!B7,"")</f>
        <v>301444094.99999994</v>
      </c>
      <c r="L7" s="24"/>
      <c r="M7" s="24"/>
      <c r="N7" s="24"/>
      <c r="O7" s="24"/>
    </row>
    <row r="8" spans="1:15" ht="26.4" x14ac:dyDescent="0.3">
      <c r="A8" s="24">
        <v>3</v>
      </c>
      <c r="B8" s="24" t="s">
        <v>75</v>
      </c>
      <c r="C8" s="24" t="s">
        <v>235</v>
      </c>
      <c r="D8" s="24" t="s">
        <v>239</v>
      </c>
      <c r="E8" s="24" t="s">
        <v>76</v>
      </c>
      <c r="F8" s="22">
        <v>3.04682E-3</v>
      </c>
      <c r="G8" s="25">
        <v>0.01</v>
      </c>
      <c r="H8" s="24">
        <f t="shared" si="0"/>
        <v>3.0772882000000001E-3</v>
      </c>
      <c r="I8" s="26">
        <f>11.5*1000</f>
        <v>11500</v>
      </c>
      <c r="J8" s="27">
        <f t="shared" si="1"/>
        <v>35.3888143</v>
      </c>
      <c r="K8" s="27">
        <f>IFERROR(J8*Продукт!B7,"")</f>
        <v>8847203575</v>
      </c>
      <c r="L8" s="24"/>
      <c r="M8" s="24"/>
      <c r="N8" s="24"/>
      <c r="O8" s="24"/>
    </row>
    <row r="9" spans="1:15" ht="26.4" x14ac:dyDescent="0.3">
      <c r="A9" s="24">
        <v>4</v>
      </c>
      <c r="B9" s="24" t="s">
        <v>75</v>
      </c>
      <c r="C9" s="24" t="s">
        <v>236</v>
      </c>
      <c r="D9" s="24"/>
      <c r="E9" s="24" t="s">
        <v>76</v>
      </c>
      <c r="F9" s="22">
        <v>9.1400000000000006E-6</v>
      </c>
      <c r="G9" s="25">
        <v>0.01</v>
      </c>
      <c r="H9" s="24">
        <f t="shared" si="0"/>
        <v>9.2314000000000011E-6</v>
      </c>
      <c r="I9" s="26">
        <f>84.4*1000</f>
        <v>84400</v>
      </c>
      <c r="J9" s="27">
        <f t="shared" si="1"/>
        <v>0.77913016000000013</v>
      </c>
      <c r="K9" s="27">
        <f>IFERROR(J9*Продукт!B7,"")</f>
        <v>194782540.00000003</v>
      </c>
      <c r="L9" s="24"/>
      <c r="M9" s="24"/>
      <c r="N9" s="24"/>
      <c r="O9" s="24"/>
    </row>
    <row r="10" spans="1:15" ht="26.4" x14ac:dyDescent="0.3">
      <c r="A10" s="24">
        <v>5</v>
      </c>
      <c r="B10" s="24" t="s">
        <v>75</v>
      </c>
      <c r="C10" s="24" t="s">
        <v>237</v>
      </c>
      <c r="D10" s="24"/>
      <c r="E10" s="24" t="s">
        <v>96</v>
      </c>
      <c r="F10" s="22">
        <v>1.19E-6</v>
      </c>
      <c r="G10" s="25">
        <v>0.01</v>
      </c>
      <c r="H10" s="24">
        <f t="shared" si="0"/>
        <v>1.2019000000000001E-6</v>
      </c>
      <c r="I10" s="26">
        <f>15.51511*1000</f>
        <v>15515.11</v>
      </c>
      <c r="J10" s="27">
        <f t="shared" si="1"/>
        <v>1.8647610709000003E-2</v>
      </c>
      <c r="K10" s="27">
        <f>IFERROR(J10*Продукт!B7,"")</f>
        <v>4661902.6772500006</v>
      </c>
      <c r="L10" s="24"/>
      <c r="M10" s="24"/>
      <c r="N10" s="24"/>
      <c r="O10" s="24"/>
    </row>
    <row r="11" spans="1:15" ht="26.4" x14ac:dyDescent="0.3">
      <c r="A11" s="24">
        <v>6</v>
      </c>
      <c r="B11" s="24" t="s">
        <v>75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ht="26.4" x14ac:dyDescent="0.3">
      <c r="A12" s="24">
        <v>7</v>
      </c>
      <c r="B12" s="24" t="s">
        <v>75</v>
      </c>
      <c r="C12" s="24"/>
      <c r="D12" s="24"/>
      <c r="E12" s="24"/>
      <c r="F12" s="22"/>
      <c r="G12" s="25"/>
      <c r="H12" s="24" t="str">
        <f t="shared" si="0"/>
        <v/>
      </c>
      <c r="I12" s="26"/>
      <c r="J12" s="27" t="str">
        <f t="shared" si="1"/>
        <v/>
      </c>
      <c r="K12" s="27" t="str">
        <f>IFERROR(J12*Продукт!B7,"")</f>
        <v/>
      </c>
      <c r="L12" s="24"/>
      <c r="M12" s="24"/>
      <c r="N12" s="24"/>
      <c r="O12" s="24"/>
    </row>
    <row r="13" spans="1:15" x14ac:dyDescent="0.3">
      <c r="A13" s="4" t="s">
        <v>77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24">
        <v>8</v>
      </c>
      <c r="B14" s="24" t="s">
        <v>77</v>
      </c>
      <c r="C14" s="24" t="s">
        <v>78</v>
      </c>
      <c r="D14" s="24"/>
      <c r="E14" s="24" t="s">
        <v>76</v>
      </c>
      <c r="F14" s="22"/>
      <c r="G14" s="25"/>
      <c r="H14" s="24" t="str">
        <f t="shared" ref="H14:H19" si="2">IF(F14="","",F14*(1+IFERROR(G14,0)))</f>
        <v/>
      </c>
      <c r="I14" s="26"/>
      <c r="J14" s="27" t="str">
        <f t="shared" ref="J14:J19" si="3">IFERROR(H14*I14,"")</f>
        <v/>
      </c>
      <c r="K14" s="27" t="str">
        <f>IFERROR(J14*Продукт!B7,"")</f>
        <v/>
      </c>
      <c r="L14" s="24"/>
      <c r="M14" s="24"/>
      <c r="N14" s="24"/>
      <c r="O14" s="24"/>
    </row>
    <row r="15" spans="1:15" x14ac:dyDescent="0.3">
      <c r="A15" s="24">
        <v>9</v>
      </c>
      <c r="B15" s="24" t="s">
        <v>77</v>
      </c>
      <c r="C15" s="24"/>
      <c r="D15" s="24"/>
      <c r="E15" s="24"/>
      <c r="F15" s="22"/>
      <c r="G15" s="25"/>
      <c r="H15" s="24" t="str">
        <f t="shared" si="2"/>
        <v/>
      </c>
      <c r="I15" s="26"/>
      <c r="J15" s="27" t="str">
        <f t="shared" si="3"/>
        <v/>
      </c>
      <c r="K15" s="27" t="str">
        <f>IFERROR(J15*Продукт!B7,"")</f>
        <v/>
      </c>
      <c r="L15" s="24"/>
      <c r="M15" s="24"/>
      <c r="N15" s="24"/>
      <c r="O15" s="24"/>
    </row>
    <row r="16" spans="1:15" x14ac:dyDescent="0.3">
      <c r="A16" s="24">
        <v>10</v>
      </c>
      <c r="B16" s="24" t="s">
        <v>77</v>
      </c>
      <c r="C16" s="24"/>
      <c r="D16" s="24"/>
      <c r="E16" s="24"/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x14ac:dyDescent="0.3">
      <c r="A17" s="24">
        <v>11</v>
      </c>
      <c r="B17" s="24" t="s">
        <v>77</v>
      </c>
      <c r="C17" s="24"/>
      <c r="D17" s="24"/>
      <c r="E17" s="24"/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x14ac:dyDescent="0.3">
      <c r="A18" s="24">
        <v>12</v>
      </c>
      <c r="B18" s="24" t="s">
        <v>77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x14ac:dyDescent="0.3">
      <c r="A19" s="24">
        <v>13</v>
      </c>
      <c r="B19" s="24" t="s">
        <v>77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x14ac:dyDescent="0.3">
      <c r="A20" s="4" t="s">
        <v>79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24">
        <v>14</v>
      </c>
      <c r="B21" s="24" t="s">
        <v>79</v>
      </c>
      <c r="C21" s="24" t="s">
        <v>80</v>
      </c>
      <c r="D21" s="24"/>
      <c r="E21" s="24" t="s">
        <v>81</v>
      </c>
      <c r="F21" s="22"/>
      <c r="G21" s="25"/>
      <c r="H21" s="24" t="str">
        <f t="shared" ref="H21:H26" si="4">IF(F21="","",F21*(1+IFERROR(G21,0)))</f>
        <v/>
      </c>
      <c r="I21" s="26"/>
      <c r="J21" s="27" t="str">
        <f t="shared" ref="J21:J26" si="5">IFERROR(H21*I21,"")</f>
        <v/>
      </c>
      <c r="K21" s="27" t="str">
        <f>IFERROR(J21*Продукт!B7,"")</f>
        <v/>
      </c>
      <c r="L21" s="24"/>
      <c r="M21" s="24"/>
      <c r="N21" s="24"/>
      <c r="O21" s="24"/>
    </row>
    <row r="22" spans="1:15" x14ac:dyDescent="0.3">
      <c r="A22" s="24">
        <v>15</v>
      </c>
      <c r="B22" s="24" t="s">
        <v>79</v>
      </c>
      <c r="C22" s="24"/>
      <c r="D22" s="24"/>
      <c r="E22" s="24"/>
      <c r="F22" s="22"/>
      <c r="G22" s="25"/>
      <c r="H22" s="24" t="str">
        <f t="shared" si="4"/>
        <v/>
      </c>
      <c r="I22" s="26"/>
      <c r="J22" s="27" t="str">
        <f t="shared" si="5"/>
        <v/>
      </c>
      <c r="K22" s="27" t="str">
        <f>IFERROR(J22*Продукт!B7,"")</f>
        <v/>
      </c>
      <c r="L22" s="24"/>
      <c r="M22" s="24"/>
      <c r="N22" s="24"/>
      <c r="O22" s="24"/>
    </row>
    <row r="23" spans="1:15" x14ac:dyDescent="0.3">
      <c r="A23" s="24">
        <v>16</v>
      </c>
      <c r="B23" s="24" t="s">
        <v>79</v>
      </c>
      <c r="C23" s="24"/>
      <c r="D23" s="24"/>
      <c r="E23" s="24"/>
      <c r="F23" s="22"/>
      <c r="G23" s="25"/>
      <c r="H23" s="24" t="str">
        <f t="shared" si="4"/>
        <v/>
      </c>
      <c r="I23" s="26"/>
      <c r="J23" s="27" t="str">
        <f t="shared" si="5"/>
        <v/>
      </c>
      <c r="K23" s="27" t="str">
        <f>IFERROR(J23*Продукт!B7,"")</f>
        <v/>
      </c>
      <c r="L23" s="24"/>
      <c r="M23" s="24"/>
      <c r="N23" s="24"/>
      <c r="O23" s="24"/>
    </row>
    <row r="24" spans="1:15" x14ac:dyDescent="0.3">
      <c r="A24" s="24">
        <v>17</v>
      </c>
      <c r="B24" s="24" t="s">
        <v>79</v>
      </c>
      <c r="C24" s="24"/>
      <c r="D24" s="24"/>
      <c r="E24" s="24"/>
      <c r="F24" s="22"/>
      <c r="G24" s="25"/>
      <c r="H24" s="24" t="str">
        <f t="shared" si="4"/>
        <v/>
      </c>
      <c r="I24" s="26"/>
      <c r="J24" s="27" t="str">
        <f t="shared" si="5"/>
        <v/>
      </c>
      <c r="K24" s="27" t="str">
        <f>IFERROR(J24*Продукт!B7,"")</f>
        <v/>
      </c>
      <c r="L24" s="24"/>
      <c r="M24" s="24"/>
      <c r="N24" s="24"/>
      <c r="O24" s="24"/>
    </row>
    <row r="25" spans="1:15" x14ac:dyDescent="0.3">
      <c r="A25" s="24">
        <v>18</v>
      </c>
      <c r="B25" s="24" t="s">
        <v>79</v>
      </c>
      <c r="C25" s="24"/>
      <c r="D25" s="24"/>
      <c r="E25" s="24"/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x14ac:dyDescent="0.3">
      <c r="A26" s="24">
        <v>19</v>
      </c>
      <c r="B26" s="24" t="s">
        <v>79</v>
      </c>
      <c r="C26" s="24"/>
      <c r="D26" s="24"/>
      <c r="E26" s="24"/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x14ac:dyDescent="0.3">
      <c r="A27" s="4" t="s">
        <v>82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">
      <c r="A28" s="24">
        <v>20</v>
      </c>
      <c r="B28" s="24" t="s">
        <v>82</v>
      </c>
      <c r="C28" s="24" t="s">
        <v>83</v>
      </c>
      <c r="D28" s="24"/>
      <c r="E28" s="24" t="s">
        <v>84</v>
      </c>
      <c r="F28" s="22"/>
      <c r="G28" s="25"/>
      <c r="H28" s="24" t="str">
        <f t="shared" ref="H28:H33" si="6">IF(F28="","",F28*(1+IFERROR(G28,0)))</f>
        <v/>
      </c>
      <c r="I28" s="26"/>
      <c r="J28" s="27" t="str">
        <f t="shared" ref="J28:J33" si="7">IFERROR(H28*I28,"")</f>
        <v/>
      </c>
      <c r="K28" s="27" t="str">
        <f>IFERROR(J28*Продукт!B7,"")</f>
        <v/>
      </c>
      <c r="L28" s="24"/>
      <c r="M28" s="24"/>
      <c r="N28" s="24"/>
      <c r="O28" s="24"/>
    </row>
    <row r="29" spans="1:15" x14ac:dyDescent="0.3">
      <c r="A29" s="24">
        <v>21</v>
      </c>
      <c r="B29" s="24" t="s">
        <v>82</v>
      </c>
      <c r="C29" s="24"/>
      <c r="D29" s="24"/>
      <c r="E29" s="24"/>
      <c r="F29" s="22"/>
      <c r="G29" s="25"/>
      <c r="H29" s="24" t="str">
        <f t="shared" si="6"/>
        <v/>
      </c>
      <c r="I29" s="26"/>
      <c r="J29" s="27" t="str">
        <f t="shared" si="7"/>
        <v/>
      </c>
      <c r="K29" s="27" t="str">
        <f>IFERROR(J29*Продукт!B7,"")</f>
        <v/>
      </c>
      <c r="L29" s="24"/>
      <c r="M29" s="24"/>
      <c r="N29" s="24"/>
      <c r="O29" s="24"/>
    </row>
    <row r="30" spans="1:15" x14ac:dyDescent="0.3">
      <c r="A30" s="24">
        <v>22</v>
      </c>
      <c r="B30" s="24" t="s">
        <v>82</v>
      </c>
      <c r="C30" s="24"/>
      <c r="D30" s="24"/>
      <c r="E30" s="24"/>
      <c r="F30" s="22"/>
      <c r="G30" s="25"/>
      <c r="H30" s="24" t="str">
        <f t="shared" si="6"/>
        <v/>
      </c>
      <c r="I30" s="26"/>
      <c r="J30" s="27" t="str">
        <f t="shared" si="7"/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24">
        <v>23</v>
      </c>
      <c r="B31" s="24" t="s">
        <v>82</v>
      </c>
      <c r="C31" s="24"/>
      <c r="D31" s="24"/>
      <c r="E31" s="24"/>
      <c r="F31" s="22"/>
      <c r="G31" s="25"/>
      <c r="H31" s="24" t="str">
        <f t="shared" si="6"/>
        <v/>
      </c>
      <c r="I31" s="26"/>
      <c r="J31" s="27" t="str">
        <f t="shared" si="7"/>
        <v/>
      </c>
      <c r="K31" s="27" t="str">
        <f>IFERROR(J31*Продукт!B7,"")</f>
        <v/>
      </c>
      <c r="L31" s="24"/>
      <c r="M31" s="24"/>
      <c r="N31" s="24"/>
      <c r="O31" s="24"/>
    </row>
    <row r="32" spans="1:15" x14ac:dyDescent="0.3">
      <c r="A32" s="24">
        <v>24</v>
      </c>
      <c r="B32" s="24" t="s">
        <v>82</v>
      </c>
      <c r="C32" s="24"/>
      <c r="D32" s="24"/>
      <c r="E32" s="24"/>
      <c r="F32" s="22"/>
      <c r="G32" s="25"/>
      <c r="H32" s="24" t="str">
        <f t="shared" si="6"/>
        <v/>
      </c>
      <c r="I32" s="26"/>
      <c r="J32" s="27" t="str">
        <f t="shared" si="7"/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24">
        <v>25</v>
      </c>
      <c r="B33" s="24" t="s">
        <v>82</v>
      </c>
      <c r="C33" s="24"/>
      <c r="D33" s="24"/>
      <c r="E33" s="24"/>
      <c r="F33" s="22"/>
      <c r="G33" s="25"/>
      <c r="H33" s="24" t="str">
        <f t="shared" si="6"/>
        <v/>
      </c>
      <c r="I33" s="26"/>
      <c r="J33" s="27" t="str">
        <f t="shared" si="7"/>
        <v/>
      </c>
      <c r="K33" s="27" t="str">
        <f>IFERROR(J33*Продукт!B7,"")</f>
        <v/>
      </c>
      <c r="L33" s="24"/>
      <c r="M33" s="24"/>
      <c r="N33" s="24"/>
      <c r="O33" s="24"/>
    </row>
    <row r="34" spans="1:15" x14ac:dyDescent="0.3">
      <c r="A34" s="4" t="s">
        <v>85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">
      <c r="A35" s="24">
        <v>26</v>
      </c>
      <c r="B35" s="24" t="s">
        <v>85</v>
      </c>
      <c r="C35" s="24" t="s">
        <v>86</v>
      </c>
      <c r="D35" s="24"/>
      <c r="E35" s="24" t="s">
        <v>76</v>
      </c>
      <c r="F35" s="22"/>
      <c r="G35" s="25"/>
      <c r="H35" s="24" t="str">
        <f t="shared" ref="H35:H40" si="8">IF(F35="","",F35*(1+IFERROR(G35,0)))</f>
        <v/>
      </c>
      <c r="I35" s="26"/>
      <c r="J35" s="27" t="str">
        <f t="shared" ref="J35:J40" si="9">IFERROR(H35*I35,"")</f>
        <v/>
      </c>
      <c r="K35" s="27" t="str">
        <f>IFERROR(J35*Продукт!B7,"")</f>
        <v/>
      </c>
      <c r="L35" s="24"/>
      <c r="M35" s="24"/>
      <c r="N35" s="24"/>
      <c r="O35" s="24"/>
    </row>
    <row r="36" spans="1:15" x14ac:dyDescent="0.3">
      <c r="A36" s="24">
        <v>27</v>
      </c>
      <c r="B36" s="24" t="s">
        <v>85</v>
      </c>
      <c r="C36" s="24"/>
      <c r="D36" s="24"/>
      <c r="E36" s="24"/>
      <c r="F36" s="22"/>
      <c r="G36" s="25"/>
      <c r="H36" s="24" t="str">
        <f t="shared" si="8"/>
        <v/>
      </c>
      <c r="I36" s="26"/>
      <c r="J36" s="27" t="str">
        <f t="shared" si="9"/>
        <v/>
      </c>
      <c r="K36" s="27" t="str">
        <f>IFERROR(J36*Продукт!B7,"")</f>
        <v/>
      </c>
      <c r="L36" s="24"/>
      <c r="M36" s="24"/>
      <c r="N36" s="24"/>
      <c r="O36" s="24"/>
    </row>
    <row r="37" spans="1:15" x14ac:dyDescent="0.3">
      <c r="A37" s="24">
        <v>28</v>
      </c>
      <c r="B37" s="24" t="s">
        <v>85</v>
      </c>
      <c r="C37" s="24"/>
      <c r="D37" s="24"/>
      <c r="E37" s="24"/>
      <c r="F37" s="22"/>
      <c r="G37" s="25"/>
      <c r="H37" s="24" t="str">
        <f t="shared" si="8"/>
        <v/>
      </c>
      <c r="I37" s="26"/>
      <c r="J37" s="27" t="str">
        <f t="shared" si="9"/>
        <v/>
      </c>
      <c r="K37" s="27" t="str">
        <f>IFERROR(J37*Продукт!B7,"")</f>
        <v/>
      </c>
      <c r="L37" s="24"/>
      <c r="M37" s="24"/>
      <c r="N37" s="24"/>
      <c r="O37" s="24"/>
    </row>
    <row r="38" spans="1:15" x14ac:dyDescent="0.3">
      <c r="A38" s="24">
        <v>29</v>
      </c>
      <c r="B38" s="24" t="s">
        <v>85</v>
      </c>
      <c r="C38" s="24"/>
      <c r="D38" s="24"/>
      <c r="E38" s="24"/>
      <c r="F38" s="22"/>
      <c r="G38" s="25"/>
      <c r="H38" s="24" t="str">
        <f t="shared" si="8"/>
        <v/>
      </c>
      <c r="I38" s="26"/>
      <c r="J38" s="27" t="str">
        <f t="shared" si="9"/>
        <v/>
      </c>
      <c r="K38" s="27" t="str">
        <f>IFERROR(J38*Продукт!B7,"")</f>
        <v/>
      </c>
      <c r="L38" s="24"/>
      <c r="M38" s="24"/>
      <c r="N38" s="24"/>
      <c r="O38" s="24"/>
    </row>
    <row r="39" spans="1:15" x14ac:dyDescent="0.3">
      <c r="A39" s="24">
        <v>30</v>
      </c>
      <c r="B39" s="24" t="s">
        <v>85</v>
      </c>
      <c r="C39" s="24"/>
      <c r="D39" s="24"/>
      <c r="E39" s="24"/>
      <c r="F39" s="22"/>
      <c r="G39" s="25"/>
      <c r="H39" s="24" t="str">
        <f t="shared" si="8"/>
        <v/>
      </c>
      <c r="I39" s="26"/>
      <c r="J39" s="27" t="str">
        <f t="shared" si="9"/>
        <v/>
      </c>
      <c r="K39" s="27" t="str">
        <f>IFERROR(J39*Продукт!B7,"")</f>
        <v/>
      </c>
      <c r="L39" s="24"/>
      <c r="M39" s="24"/>
      <c r="N39" s="24"/>
      <c r="O39" s="24"/>
    </row>
    <row r="40" spans="1:15" x14ac:dyDescent="0.3">
      <c r="A40" s="24">
        <v>31</v>
      </c>
      <c r="B40" s="24" t="s">
        <v>85</v>
      </c>
      <c r="C40" s="24"/>
      <c r="D40" s="24"/>
      <c r="E40" s="24"/>
      <c r="F40" s="22"/>
      <c r="G40" s="25"/>
      <c r="H40" s="24" t="str">
        <f t="shared" si="8"/>
        <v/>
      </c>
      <c r="I40" s="26"/>
      <c r="J40" s="27" t="str">
        <f t="shared" si="9"/>
        <v/>
      </c>
      <c r="K40" s="27" t="str">
        <f>IFERROR(J40*Продукт!B7,"")</f>
        <v/>
      </c>
      <c r="L40" s="24"/>
      <c r="M40" s="24"/>
      <c r="N40" s="24"/>
      <c r="O40" s="24"/>
    </row>
    <row r="41" spans="1:15" x14ac:dyDescent="0.3">
      <c r="A41" s="4" t="s">
        <v>87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3">
      <c r="A42" s="24">
        <v>32</v>
      </c>
      <c r="B42" s="24" t="s">
        <v>87</v>
      </c>
      <c r="C42" s="24" t="s">
        <v>88</v>
      </c>
      <c r="D42" s="24"/>
      <c r="E42" s="24" t="s">
        <v>76</v>
      </c>
      <c r="F42" s="22"/>
      <c r="G42" s="25"/>
      <c r="H42" s="24" t="str">
        <f t="shared" ref="H42:H47" si="10">IF(F42="","",F42*(1+IFERROR(G42,0)))</f>
        <v/>
      </c>
      <c r="I42" s="26"/>
      <c r="J42" s="27" t="str">
        <f t="shared" ref="J42:J47" si="11">IFERROR(H42*I42,"")</f>
        <v/>
      </c>
      <c r="K42" s="27" t="str">
        <f>IFERROR(J42*Продукт!B7,"")</f>
        <v/>
      </c>
      <c r="L42" s="24"/>
      <c r="M42" s="24"/>
      <c r="N42" s="24"/>
      <c r="O42" s="24"/>
    </row>
    <row r="43" spans="1:15" x14ac:dyDescent="0.3">
      <c r="A43" s="24">
        <v>33</v>
      </c>
      <c r="B43" s="24" t="s">
        <v>87</v>
      </c>
      <c r="C43" s="24"/>
      <c r="D43" s="24"/>
      <c r="E43" s="24"/>
      <c r="F43" s="22"/>
      <c r="G43" s="25"/>
      <c r="H43" s="24" t="str">
        <f t="shared" si="10"/>
        <v/>
      </c>
      <c r="I43" s="26"/>
      <c r="J43" s="27" t="str">
        <f t="shared" si="11"/>
        <v/>
      </c>
      <c r="K43" s="27" t="str">
        <f>IFERROR(J43*Продукт!B7,"")</f>
        <v/>
      </c>
      <c r="L43" s="24"/>
      <c r="M43" s="24"/>
      <c r="N43" s="24"/>
      <c r="O43" s="24"/>
    </row>
    <row r="44" spans="1:15" x14ac:dyDescent="0.3">
      <c r="A44" s="24">
        <v>34</v>
      </c>
      <c r="B44" s="24" t="s">
        <v>87</v>
      </c>
      <c r="C44" s="24"/>
      <c r="D44" s="24"/>
      <c r="E44" s="24"/>
      <c r="F44" s="22"/>
      <c r="G44" s="25"/>
      <c r="H44" s="24" t="str">
        <f t="shared" si="10"/>
        <v/>
      </c>
      <c r="I44" s="26"/>
      <c r="J44" s="27" t="str">
        <f t="shared" si="11"/>
        <v/>
      </c>
      <c r="K44" s="27" t="str">
        <f>IFERROR(J44*Продукт!B7,"")</f>
        <v/>
      </c>
      <c r="L44" s="24"/>
      <c r="M44" s="24"/>
      <c r="N44" s="24"/>
      <c r="O44" s="24"/>
    </row>
    <row r="45" spans="1:15" x14ac:dyDescent="0.3">
      <c r="A45" s="24">
        <v>35</v>
      </c>
      <c r="B45" s="24" t="s">
        <v>87</v>
      </c>
      <c r="C45" s="24"/>
      <c r="D45" s="24"/>
      <c r="E45" s="24"/>
      <c r="F45" s="22"/>
      <c r="G45" s="25"/>
      <c r="H45" s="24" t="str">
        <f t="shared" si="10"/>
        <v/>
      </c>
      <c r="I45" s="26"/>
      <c r="J45" s="27" t="str">
        <f t="shared" si="11"/>
        <v/>
      </c>
      <c r="K45" s="27" t="str">
        <f>IFERROR(J45*Продукт!B7,"")</f>
        <v/>
      </c>
      <c r="L45" s="24"/>
      <c r="M45" s="24"/>
      <c r="N45" s="24"/>
      <c r="O45" s="24"/>
    </row>
    <row r="46" spans="1:15" x14ac:dyDescent="0.3">
      <c r="A46" s="24">
        <v>36</v>
      </c>
      <c r="B46" s="24" t="s">
        <v>87</v>
      </c>
      <c r="C46" s="24"/>
      <c r="D46" s="24"/>
      <c r="E46" s="24"/>
      <c r="F46" s="22"/>
      <c r="G46" s="25"/>
      <c r="H46" s="24" t="str">
        <f t="shared" si="10"/>
        <v/>
      </c>
      <c r="I46" s="26"/>
      <c r="J46" s="27" t="str">
        <f t="shared" si="11"/>
        <v/>
      </c>
      <c r="K46" s="27" t="str">
        <f>IFERROR(J46*Продукт!B7,"")</f>
        <v/>
      </c>
      <c r="L46" s="24"/>
      <c r="M46" s="24"/>
      <c r="N46" s="24"/>
      <c r="O46" s="24"/>
    </row>
    <row r="47" spans="1:15" x14ac:dyDescent="0.3">
      <c r="A47" s="24">
        <v>37</v>
      </c>
      <c r="B47" s="24" t="s">
        <v>87</v>
      </c>
      <c r="C47" s="24"/>
      <c r="D47" s="24"/>
      <c r="E47" s="24"/>
      <c r="F47" s="22"/>
      <c r="G47" s="25"/>
      <c r="H47" s="24" t="str">
        <f t="shared" si="10"/>
        <v/>
      </c>
      <c r="I47" s="26"/>
      <c r="J47" s="27" t="str">
        <f t="shared" si="11"/>
        <v/>
      </c>
      <c r="K47" s="27" t="str">
        <f>IFERROR(J47*Продукт!B7,"")</f>
        <v/>
      </c>
      <c r="L47" s="24"/>
      <c r="M47" s="24"/>
      <c r="N47" s="24"/>
      <c r="O47" s="24"/>
    </row>
    <row r="48" spans="1:15" x14ac:dyDescent="0.3">
      <c r="A48" s="3" t="s">
        <v>89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">
      <c r="A49" s="24">
        <v>38</v>
      </c>
      <c r="B49" s="24"/>
      <c r="C49" s="24"/>
      <c r="D49" s="24"/>
      <c r="E49" s="24"/>
      <c r="F49" s="22"/>
      <c r="G49" s="25"/>
      <c r="H49" s="24" t="str">
        <f>IF(F49="","",F49*(1+IFERROR(G49,0)))</f>
        <v/>
      </c>
      <c r="I49" s="26"/>
      <c r="J49" s="27" t="str">
        <f>IFERROR(H49*I49,"")</f>
        <v/>
      </c>
      <c r="K49" s="27" t="str">
        <f>IFERROR(J49*Продукт!B7,"")</f>
        <v/>
      </c>
      <c r="L49" s="24"/>
      <c r="M49" s="24"/>
      <c r="N49" s="24"/>
      <c r="O49" s="24"/>
    </row>
    <row r="50" spans="1:15" x14ac:dyDescent="0.3">
      <c r="A50" s="24">
        <v>39</v>
      </c>
      <c r="B50" s="24"/>
      <c r="C50" s="24"/>
      <c r="D50" s="24"/>
      <c r="E50" s="24"/>
      <c r="F50" s="22"/>
      <c r="G50" s="25"/>
      <c r="H50" s="24" t="str">
        <f>IF(F50="","",F50*(1+IFERROR(G50,0)))</f>
        <v/>
      </c>
      <c r="I50" s="26"/>
      <c r="J50" s="27" t="str">
        <f>IFERROR(H50*I50,"")</f>
        <v/>
      </c>
      <c r="K50" s="27" t="str">
        <f>IFERROR(J50*Продукт!B7,"")</f>
        <v/>
      </c>
      <c r="L50" s="24"/>
      <c r="M50" s="24"/>
      <c r="N50" s="24"/>
      <c r="O50" s="24"/>
    </row>
    <row r="51" spans="1:15" x14ac:dyDescent="0.3">
      <c r="A51" s="24">
        <v>40</v>
      </c>
      <c r="B51" s="24"/>
      <c r="C51" s="24"/>
      <c r="D51" s="24"/>
      <c r="E51" s="24"/>
      <c r="F51" s="22"/>
      <c r="G51" s="25"/>
      <c r="H51" s="24" t="str">
        <f>IF(F51="","",F51*(1+IFERROR(G51,0)))</f>
        <v/>
      </c>
      <c r="I51" s="26"/>
      <c r="J51" s="27" t="str">
        <f>IFERROR(H51*I51,"")</f>
        <v/>
      </c>
      <c r="K51" s="27" t="str">
        <f>IFERROR(J51*Продукт!B7,"")</f>
        <v/>
      </c>
      <c r="L51" s="24"/>
      <c r="M51" s="24"/>
      <c r="N51" s="24"/>
      <c r="O51" s="24"/>
    </row>
    <row r="52" spans="1:15" x14ac:dyDescent="0.3">
      <c r="A52" s="24">
        <v>41</v>
      </c>
      <c r="B52" s="24"/>
      <c r="C52" s="24"/>
      <c r="D52" s="24"/>
      <c r="E52" s="24"/>
      <c r="F52" s="22"/>
      <c r="G52" s="25"/>
      <c r="H52" s="24" t="str">
        <f>IF(F52="","",F52*(1+IFERROR(G52,0)))</f>
        <v/>
      </c>
      <c r="I52" s="26"/>
      <c r="J52" s="27" t="str">
        <f>IFERROR(H52*I52,"")</f>
        <v/>
      </c>
      <c r="K52" s="27" t="str">
        <f>IFERROR(J52*Продукт!B7,"")</f>
        <v/>
      </c>
      <c r="L52" s="24"/>
      <c r="M52" s="24"/>
      <c r="N52" s="24"/>
      <c r="O52" s="24"/>
    </row>
    <row r="53" spans="1:15" x14ac:dyDescent="0.3">
      <c r="A53" s="24">
        <v>42</v>
      </c>
      <c r="B53" s="24"/>
      <c r="C53" s="24"/>
      <c r="D53" s="24"/>
      <c r="E53" s="24"/>
      <c r="F53" s="22"/>
      <c r="G53" s="25"/>
      <c r="H53" s="24" t="str">
        <f>IF(F53="","",F53*(1+IFERROR(G53,0)))</f>
        <v/>
      </c>
      <c r="I53" s="26"/>
      <c r="J53" s="27" t="str">
        <f>IFERROR(H53*I53,"")</f>
        <v/>
      </c>
      <c r="K53" s="27" t="str">
        <f>IFERROR(J53*Продукт!B7,"")</f>
        <v/>
      </c>
      <c r="L53" s="24"/>
      <c r="M53" s="24"/>
      <c r="N53" s="24"/>
      <c r="O53" s="24"/>
    </row>
    <row r="55" spans="1:15" x14ac:dyDescent="0.3">
      <c r="A55" s="2" t="s">
        <v>90</v>
      </c>
      <c r="B55" s="2"/>
      <c r="C55" s="2"/>
      <c r="D55" s="2"/>
      <c r="E55" s="2"/>
      <c r="F55" s="2"/>
      <c r="G55" s="2"/>
      <c r="H55" s="2"/>
      <c r="I55" s="2"/>
      <c r="J55" s="28">
        <f>SUMIF(J5:J53,"&gt;0")</f>
        <v>85.026695450708985</v>
      </c>
      <c r="K55" s="28">
        <f>SUMIF(K5:K53,"&gt;0")</f>
        <v>21256673862.67725</v>
      </c>
      <c r="L55" s="29"/>
      <c r="M55" s="29"/>
      <c r="N55" s="29"/>
      <c r="O55" s="29"/>
    </row>
  </sheetData>
  <mergeCells count="10">
    <mergeCell ref="A27:O27"/>
    <mergeCell ref="A34:O34"/>
    <mergeCell ref="A41:O41"/>
    <mergeCell ref="A48:O48"/>
    <mergeCell ref="A55:I55"/>
    <mergeCell ref="A1:O1"/>
    <mergeCell ref="A2:O2"/>
    <mergeCell ref="A5:O5"/>
    <mergeCell ref="A13:O13"/>
    <mergeCell ref="A20:O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6" sqref="L6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92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9.6" x14ac:dyDescent="0.3">
      <c r="A6" s="24">
        <v>1</v>
      </c>
      <c r="B6" s="24" t="s">
        <v>92</v>
      </c>
      <c r="C6" s="24" t="s">
        <v>240</v>
      </c>
      <c r="D6" s="24"/>
      <c r="E6" s="24" t="s">
        <v>76</v>
      </c>
      <c r="F6" s="22">
        <v>4.2008999999999997E-4</v>
      </c>
      <c r="G6" s="25">
        <v>0.01</v>
      </c>
      <c r="H6" s="24">
        <f t="shared" ref="H6:H13" si="0">IF(F6="","",F6*(1+IFERROR(G6,0)))</f>
        <v>4.242909E-4</v>
      </c>
      <c r="I6" s="26">
        <f>21.1*1000</f>
        <v>21100</v>
      </c>
      <c r="J6" s="27">
        <f t="shared" ref="J6:J13" si="1">IFERROR(H6*I6,"")</f>
        <v>8.9525379899999997</v>
      </c>
      <c r="K6" s="27">
        <f>IFERROR(J6*Продукт!B7,"")</f>
        <v>2238134497.5</v>
      </c>
      <c r="L6" s="24">
        <f>H6*Продукт!B7</f>
        <v>106072.72500000001</v>
      </c>
      <c r="M6" s="24"/>
      <c r="N6" s="24"/>
      <c r="O6" s="24"/>
    </row>
    <row r="7" spans="1:15" ht="52.8" x14ac:dyDescent="0.3">
      <c r="A7" s="24">
        <v>2</v>
      </c>
      <c r="B7" s="24" t="s">
        <v>92</v>
      </c>
      <c r="C7" s="24" t="s">
        <v>241</v>
      </c>
      <c r="D7" s="24"/>
      <c r="E7" s="24" t="s">
        <v>76</v>
      </c>
      <c r="F7" s="22">
        <v>4.0454999999999999E-4</v>
      </c>
      <c r="G7" s="25">
        <v>0.01</v>
      </c>
      <c r="H7" s="24">
        <f t="shared" si="0"/>
        <v>4.0859549999999999E-4</v>
      </c>
      <c r="I7" s="26">
        <f>20.045*1000</f>
        <v>20045</v>
      </c>
      <c r="J7" s="27">
        <f t="shared" si="1"/>
        <v>8.1902967975000003</v>
      </c>
      <c r="K7" s="27">
        <f>IFERROR(J7*Продукт!B7,"")</f>
        <v>2047574199.375</v>
      </c>
      <c r="L7" s="24"/>
      <c r="M7" s="24"/>
      <c r="N7" s="24"/>
      <c r="O7" s="24"/>
    </row>
    <row r="8" spans="1:15" ht="26.4" x14ac:dyDescent="0.3">
      <c r="A8" s="24">
        <v>3</v>
      </c>
      <c r="B8" s="24" t="s">
        <v>92</v>
      </c>
      <c r="C8" s="24" t="s">
        <v>242</v>
      </c>
      <c r="D8" s="24"/>
      <c r="E8" s="24" t="s">
        <v>246</v>
      </c>
      <c r="F8" s="22">
        <v>9.5399999999999984E-6</v>
      </c>
      <c r="G8" s="25">
        <v>0.01</v>
      </c>
      <c r="H8" s="24">
        <f t="shared" si="0"/>
        <v>9.6353999999999993E-6</v>
      </c>
      <c r="I8" s="26">
        <f>15*1000</f>
        <v>15000</v>
      </c>
      <c r="J8" s="27">
        <f t="shared" si="1"/>
        <v>0.14453099999999999</v>
      </c>
      <c r="K8" s="27">
        <f>IFERROR(J8*Продукт!B7,"")</f>
        <v>36132750</v>
      </c>
      <c r="L8" s="24"/>
      <c r="M8" s="24"/>
      <c r="N8" s="24"/>
      <c r="O8" s="24"/>
    </row>
    <row r="9" spans="1:15" ht="39.6" x14ac:dyDescent="0.3">
      <c r="A9" s="24">
        <v>4</v>
      </c>
      <c r="B9" s="24" t="s">
        <v>92</v>
      </c>
      <c r="C9" s="24" t="s">
        <v>243</v>
      </c>
      <c r="D9" s="24"/>
      <c r="E9" s="24" t="s">
        <v>246</v>
      </c>
      <c r="F9" s="22">
        <v>0</v>
      </c>
      <c r="G9" s="25">
        <v>0.01</v>
      </c>
      <c r="H9" s="24">
        <f t="shared" si="0"/>
        <v>0</v>
      </c>
      <c r="I9" s="26">
        <f>0.05908*1000</f>
        <v>59.08</v>
      </c>
      <c r="J9" s="27">
        <f t="shared" si="1"/>
        <v>0</v>
      </c>
      <c r="K9" s="27">
        <f>IFERROR(J9*Продукт!B7,"")</f>
        <v>0</v>
      </c>
      <c r="L9" s="24"/>
      <c r="M9" s="24"/>
      <c r="N9" s="24"/>
      <c r="O9" s="24"/>
    </row>
    <row r="10" spans="1:15" ht="39.6" x14ac:dyDescent="0.3">
      <c r="A10" s="24">
        <v>5</v>
      </c>
      <c r="B10" s="24" t="s">
        <v>92</v>
      </c>
      <c r="C10" s="24" t="s">
        <v>244</v>
      </c>
      <c r="D10" s="24"/>
      <c r="E10" s="24" t="s">
        <v>246</v>
      </c>
      <c r="F10" s="22">
        <v>0</v>
      </c>
      <c r="G10" s="25">
        <v>0.01</v>
      </c>
      <c r="H10" s="24">
        <f t="shared" si="0"/>
        <v>0</v>
      </c>
      <c r="I10" s="26">
        <f>0.05908*1000</f>
        <v>59.08</v>
      </c>
      <c r="J10" s="27">
        <f t="shared" si="1"/>
        <v>0</v>
      </c>
      <c r="K10" s="27">
        <f>IFERROR(J10*Продукт!B7,"")</f>
        <v>0</v>
      </c>
      <c r="L10" s="24"/>
      <c r="M10" s="24"/>
      <c r="N10" s="24"/>
      <c r="O10" s="24"/>
    </row>
    <row r="11" spans="1:15" ht="39.6" x14ac:dyDescent="0.3">
      <c r="A11" s="24">
        <v>6</v>
      </c>
      <c r="B11" s="24" t="s">
        <v>92</v>
      </c>
      <c r="C11" s="24" t="s">
        <v>245</v>
      </c>
      <c r="D11" s="24"/>
      <c r="E11" s="24" t="s">
        <v>246</v>
      </c>
      <c r="F11" s="22">
        <v>1.0004999999999999</v>
      </c>
      <c r="G11" s="25">
        <v>0.01</v>
      </c>
      <c r="H11" s="24">
        <f t="shared" si="0"/>
        <v>1.010505</v>
      </c>
      <c r="I11" s="26">
        <f>0.05908*1000</f>
        <v>59.08</v>
      </c>
      <c r="J11" s="27">
        <f t="shared" si="1"/>
        <v>59.700635399999996</v>
      </c>
      <c r="K11" s="27">
        <f>IFERROR(J11*Продукт!B7,"")</f>
        <v>14925158849.999998</v>
      </c>
      <c r="L11" s="24"/>
      <c r="M11" s="24"/>
      <c r="N11" s="24"/>
      <c r="O11" s="24"/>
    </row>
    <row r="12" spans="1:15" ht="26.4" x14ac:dyDescent="0.3">
      <c r="A12" s="24">
        <v>7</v>
      </c>
      <c r="B12" s="24" t="s">
        <v>92</v>
      </c>
      <c r="C12" s="24" t="s">
        <v>237</v>
      </c>
      <c r="D12" s="24"/>
      <c r="E12" s="24" t="s">
        <v>96</v>
      </c>
      <c r="F12" s="22">
        <v>6.0999999999999998E-7</v>
      </c>
      <c r="G12" s="25">
        <v>0.01</v>
      </c>
      <c r="H12" s="24">
        <f t="shared" si="0"/>
        <v>6.1610000000000002E-7</v>
      </c>
      <c r="I12" s="26">
        <f>15.51511*1000</f>
        <v>15515.11</v>
      </c>
      <c r="J12" s="27">
        <f t="shared" si="1"/>
        <v>9.5588592710000014E-3</v>
      </c>
      <c r="K12" s="27">
        <f>IFERROR(J12*Продукт!B7,"")</f>
        <v>2389714.8177500004</v>
      </c>
      <c r="L12" s="24"/>
      <c r="M12" s="24"/>
      <c r="N12" s="24"/>
      <c r="O12" s="24"/>
    </row>
    <row r="13" spans="1:15" ht="26.4" x14ac:dyDescent="0.3">
      <c r="A13" s="24">
        <v>8</v>
      </c>
      <c r="B13" s="24" t="s">
        <v>92</v>
      </c>
      <c r="C13" s="24"/>
      <c r="D13" s="24"/>
      <c r="E13" s="24"/>
      <c r="F13" s="22"/>
      <c r="G13" s="25"/>
      <c r="H13" s="24" t="str">
        <f t="shared" si="0"/>
        <v/>
      </c>
      <c r="I13" s="26"/>
      <c r="J13" s="27" t="str">
        <f t="shared" si="1"/>
        <v/>
      </c>
      <c r="K13" s="27" t="str">
        <f>IFERROR(J13*Продукт!B7,"")</f>
        <v/>
      </c>
      <c r="L13" s="24"/>
      <c r="M13" s="24"/>
      <c r="N13" s="24"/>
      <c r="O13" s="24"/>
    </row>
    <row r="14" spans="1:15" x14ac:dyDescent="0.3">
      <c r="A14" s="4" t="s">
        <v>93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39.6" x14ac:dyDescent="0.3">
      <c r="A15" s="24">
        <v>9</v>
      </c>
      <c r="B15" s="24" t="s">
        <v>93</v>
      </c>
      <c r="C15" s="24" t="s">
        <v>94</v>
      </c>
      <c r="D15" s="24"/>
      <c r="E15" s="24" t="s">
        <v>76</v>
      </c>
      <c r="F15" s="22"/>
      <c r="G15" s="25"/>
      <c r="H15" s="24" t="str">
        <f t="shared" ref="H15:H21" si="2">IF(F15="","",F15*(1+IFERROR(G15,0)))</f>
        <v/>
      </c>
      <c r="I15" s="26"/>
      <c r="J15" s="27" t="str">
        <f t="shared" ref="J15:J21" si="3">IFERROR(H15*I15,"")</f>
        <v/>
      </c>
      <c r="K15" s="27" t="str">
        <f>IFERROR(J15*Продукт!B7,"")</f>
        <v/>
      </c>
      <c r="L15" s="24"/>
      <c r="M15" s="24"/>
      <c r="N15" s="24"/>
      <c r="O15" s="24"/>
    </row>
    <row r="16" spans="1:15" ht="39.6" x14ac:dyDescent="0.3">
      <c r="A16" s="24">
        <v>10</v>
      </c>
      <c r="B16" s="24" t="s">
        <v>93</v>
      </c>
      <c r="C16" s="24" t="s">
        <v>95</v>
      </c>
      <c r="D16" s="24"/>
      <c r="E16" s="24" t="s">
        <v>96</v>
      </c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ht="39.6" x14ac:dyDescent="0.3">
      <c r="A17" s="24">
        <v>11</v>
      </c>
      <c r="B17" s="24" t="s">
        <v>93</v>
      </c>
      <c r="C17" s="24"/>
      <c r="D17" s="24"/>
      <c r="E17" s="24"/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ht="39.6" x14ac:dyDescent="0.3">
      <c r="A18" s="24">
        <v>12</v>
      </c>
      <c r="B18" s="24" t="s">
        <v>93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ht="39.6" x14ac:dyDescent="0.3">
      <c r="A19" s="24">
        <v>13</v>
      </c>
      <c r="B19" s="24" t="s">
        <v>93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ht="39.6" x14ac:dyDescent="0.3">
      <c r="A20" s="24">
        <v>14</v>
      </c>
      <c r="B20" s="24" t="s">
        <v>93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ht="39.6" x14ac:dyDescent="0.3">
      <c r="A21" s="24">
        <v>15</v>
      </c>
      <c r="B21" s="24" t="s">
        <v>93</v>
      </c>
      <c r="C21" s="24"/>
      <c r="D21" s="24"/>
      <c r="E21" s="24"/>
      <c r="F21" s="22"/>
      <c r="G21" s="25"/>
      <c r="H21" s="24" t="str">
        <f t="shared" si="2"/>
        <v/>
      </c>
      <c r="I21" s="26"/>
      <c r="J21" s="27" t="str">
        <f t="shared" si="3"/>
        <v/>
      </c>
      <c r="K21" s="27" t="str">
        <f>IFERROR(J21*Продукт!B7,"")</f>
        <v/>
      </c>
      <c r="L21" s="24"/>
      <c r="M21" s="24"/>
      <c r="N21" s="24"/>
      <c r="O21" s="24"/>
    </row>
    <row r="22" spans="1:15" x14ac:dyDescent="0.3">
      <c r="A22" s="4" t="s">
        <v>97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26.4" x14ac:dyDescent="0.3">
      <c r="A23" s="24">
        <v>16</v>
      </c>
      <c r="B23" s="24" t="s">
        <v>97</v>
      </c>
      <c r="C23" s="24" t="s">
        <v>98</v>
      </c>
      <c r="D23" s="24"/>
      <c r="E23" s="24" t="s">
        <v>76</v>
      </c>
      <c r="F23" s="22"/>
      <c r="G23" s="25"/>
      <c r="H23" s="24" t="str">
        <f t="shared" ref="H23:H28" si="4">IF(F23="","",F23*(1+IFERROR(G23,0)))</f>
        <v/>
      </c>
      <c r="I23" s="26"/>
      <c r="J23" s="27" t="str">
        <f t="shared" ref="J23:J28" si="5">IFERROR(H23*I23,"")</f>
        <v/>
      </c>
      <c r="K23" s="27" t="str">
        <f>IFERROR(J23*Продукт!B7,"")</f>
        <v/>
      </c>
      <c r="L23" s="24"/>
      <c r="M23" s="24"/>
      <c r="N23" s="24"/>
      <c r="O23" s="24"/>
    </row>
    <row r="24" spans="1:15" ht="26.4" x14ac:dyDescent="0.3">
      <c r="A24" s="24">
        <v>17</v>
      </c>
      <c r="B24" s="24" t="s">
        <v>97</v>
      </c>
      <c r="C24" s="24"/>
      <c r="D24" s="24"/>
      <c r="E24" s="24"/>
      <c r="F24" s="22"/>
      <c r="G24" s="25"/>
      <c r="H24" s="24" t="str">
        <f t="shared" si="4"/>
        <v/>
      </c>
      <c r="I24" s="26"/>
      <c r="J24" s="27" t="str">
        <f t="shared" si="5"/>
        <v/>
      </c>
      <c r="K24" s="27" t="str">
        <f>IFERROR(J24*Продукт!B7,"")</f>
        <v/>
      </c>
      <c r="L24" s="24"/>
      <c r="M24" s="24"/>
      <c r="N24" s="24"/>
      <c r="O24" s="24"/>
    </row>
    <row r="25" spans="1:15" ht="26.4" x14ac:dyDescent="0.3">
      <c r="A25" s="24">
        <v>18</v>
      </c>
      <c r="B25" s="24" t="s">
        <v>97</v>
      </c>
      <c r="C25" s="24"/>
      <c r="D25" s="24"/>
      <c r="E25" s="24"/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ht="26.4" x14ac:dyDescent="0.3">
      <c r="A26" s="24">
        <v>19</v>
      </c>
      <c r="B26" s="24" t="s">
        <v>97</v>
      </c>
      <c r="C26" s="24"/>
      <c r="D26" s="24"/>
      <c r="E26" s="24"/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ht="26.4" x14ac:dyDescent="0.3">
      <c r="A27" s="24">
        <v>20</v>
      </c>
      <c r="B27" s="24" t="s">
        <v>97</v>
      </c>
      <c r="C27" s="24"/>
      <c r="D27" s="24"/>
      <c r="E27" s="24"/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ht="26.4" x14ac:dyDescent="0.3">
      <c r="A28" s="24">
        <v>21</v>
      </c>
      <c r="B28" s="24" t="s">
        <v>97</v>
      </c>
      <c r="C28" s="24"/>
      <c r="D28" s="24"/>
      <c r="E28" s="24"/>
      <c r="F28" s="22"/>
      <c r="G28" s="25"/>
      <c r="H28" s="24" t="str">
        <f t="shared" si="4"/>
        <v/>
      </c>
      <c r="I28" s="26"/>
      <c r="J28" s="27" t="str">
        <f t="shared" si="5"/>
        <v/>
      </c>
      <c r="K28" s="27" t="str">
        <f>IFERROR(J28*Продукт!B7,"")</f>
        <v/>
      </c>
      <c r="L28" s="24"/>
      <c r="M28" s="24"/>
      <c r="N28" s="24"/>
      <c r="O28" s="24"/>
    </row>
    <row r="29" spans="1:15" x14ac:dyDescent="0.3">
      <c r="A29" s="3" t="s">
        <v>89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">
      <c r="A30" s="24">
        <v>22</v>
      </c>
      <c r="B30" s="24"/>
      <c r="C30" s="24"/>
      <c r="D30" s="24"/>
      <c r="E30" s="24"/>
      <c r="F30" s="22"/>
      <c r="G30" s="25"/>
      <c r="H30" s="24" t="str">
        <f>IF(F30="","",F30*(1+IFERROR(G30,0)))</f>
        <v/>
      </c>
      <c r="I30" s="26"/>
      <c r="J30" s="27" t="str">
        <f>IFERROR(H30*I30,"")</f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24">
        <v>23</v>
      </c>
      <c r="B31" s="24"/>
      <c r="C31" s="24"/>
      <c r="D31" s="24"/>
      <c r="E31" s="24"/>
      <c r="F31" s="22"/>
      <c r="G31" s="25"/>
      <c r="H31" s="24" t="str">
        <f>IF(F31="","",F31*(1+IFERROR(G31,0)))</f>
        <v/>
      </c>
      <c r="I31" s="26"/>
      <c r="J31" s="27" t="str">
        <f>IFERROR(H31*I31,"")</f>
        <v/>
      </c>
      <c r="K31" s="27" t="str">
        <f>IFERROR(J31*Продукт!B7,"")</f>
        <v/>
      </c>
      <c r="L31" s="24"/>
      <c r="M31" s="24"/>
      <c r="N31" s="24"/>
      <c r="O31" s="24"/>
    </row>
    <row r="32" spans="1:15" x14ac:dyDescent="0.3">
      <c r="A32" s="24">
        <v>24</v>
      </c>
      <c r="B32" s="24"/>
      <c r="C32" s="24"/>
      <c r="D32" s="24"/>
      <c r="E32" s="24"/>
      <c r="F32" s="22"/>
      <c r="G32" s="25"/>
      <c r="H32" s="24" t="str">
        <f>IF(F32="","",F32*(1+IFERROR(G32,0)))</f>
        <v/>
      </c>
      <c r="I32" s="26"/>
      <c r="J32" s="27" t="str">
        <f>IFERROR(H32*I32,"")</f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24">
        <v>25</v>
      </c>
      <c r="B33" s="24"/>
      <c r="C33" s="24"/>
      <c r="D33" s="24"/>
      <c r="E33" s="24"/>
      <c r="F33" s="22"/>
      <c r="G33" s="25"/>
      <c r="H33" s="24" t="str">
        <f>IF(F33="","",F33*(1+IFERROR(G33,0)))</f>
        <v/>
      </c>
      <c r="I33" s="26"/>
      <c r="J33" s="27" t="str">
        <f>IFERROR(H33*I33,"")</f>
        <v/>
      </c>
      <c r="K33" s="27" t="str">
        <f>IFERROR(J33*Продукт!B7,"")</f>
        <v/>
      </c>
      <c r="L33" s="24"/>
      <c r="M33" s="24"/>
      <c r="N33" s="24"/>
      <c r="O33" s="24"/>
    </row>
    <row r="34" spans="1:15" x14ac:dyDescent="0.3">
      <c r="A34" s="24">
        <v>26</v>
      </c>
      <c r="B34" s="24"/>
      <c r="C34" s="24"/>
      <c r="D34" s="24"/>
      <c r="E34" s="24"/>
      <c r="F34" s="22"/>
      <c r="G34" s="25"/>
      <c r="H34" s="24" t="str">
        <f>IF(F34="","",F34*(1+IFERROR(G34,0)))</f>
        <v/>
      </c>
      <c r="I34" s="26"/>
      <c r="J34" s="27" t="str">
        <f>IFERROR(H34*I34,"")</f>
        <v/>
      </c>
      <c r="K34" s="27" t="str">
        <f>IFERROR(J34*Продукт!B7,"")</f>
        <v/>
      </c>
      <c r="L34" s="24"/>
      <c r="M34" s="24"/>
      <c r="N34" s="24"/>
      <c r="O34" s="24"/>
    </row>
    <row r="36" spans="1:15" x14ac:dyDescent="0.3">
      <c r="A36" s="2" t="s">
        <v>90</v>
      </c>
      <c r="B36" s="2"/>
      <c r="C36" s="2"/>
      <c r="D36" s="2"/>
      <c r="E36" s="2"/>
      <c r="F36" s="2"/>
      <c r="G36" s="2"/>
      <c r="H36" s="2"/>
      <c r="I36" s="2"/>
      <c r="J36" s="28">
        <f>SUMIF(J5:J34,"&gt;0")</f>
        <v>76.997560046771</v>
      </c>
      <c r="K36" s="28">
        <f>SUMIF(K5:K34,"&gt;0")</f>
        <v>19249390011.692749</v>
      </c>
      <c r="L36" s="29"/>
      <c r="M36" s="29"/>
      <c r="N36" s="29"/>
      <c r="O36" s="29"/>
    </row>
  </sheetData>
  <mergeCells count="7">
    <mergeCell ref="A29:O29"/>
    <mergeCell ref="A36:I36"/>
    <mergeCell ref="A1:O1"/>
    <mergeCell ref="A2:O2"/>
    <mergeCell ref="A5:O5"/>
    <mergeCell ref="A14:O14"/>
    <mergeCell ref="A22:O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6" sqref="J6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100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6.4" x14ac:dyDescent="0.3">
      <c r="A6" s="24">
        <v>1</v>
      </c>
      <c r="B6" s="24" t="s">
        <v>100</v>
      </c>
      <c r="C6" s="24" t="s">
        <v>247</v>
      </c>
      <c r="D6" s="24"/>
      <c r="E6" s="24" t="s">
        <v>246</v>
      </c>
      <c r="F6" s="22">
        <v>7.2860000000000004E-4</v>
      </c>
      <c r="G6" s="25"/>
      <c r="H6" s="24">
        <f t="shared" ref="H6:H13" si="0">IF(F6="","",F6*(1+IFERROR(G6,0)))</f>
        <v>7.2860000000000004E-4</v>
      </c>
      <c r="I6" s="26">
        <v>250</v>
      </c>
      <c r="J6" s="27">
        <f t="shared" ref="J6:J13" si="1">IFERROR(H6*I6,"")</f>
        <v>0.18215000000000001</v>
      </c>
      <c r="K6" s="27">
        <f>IFERROR(J6*Продукт!B7,"")</f>
        <v>45537500</v>
      </c>
      <c r="L6" s="24"/>
      <c r="M6" s="24"/>
      <c r="N6" s="24"/>
      <c r="O6" s="24"/>
    </row>
    <row r="7" spans="1:15" ht="26.4" x14ac:dyDescent="0.3">
      <c r="A7" s="24">
        <v>2</v>
      </c>
      <c r="B7" s="24" t="s">
        <v>100</v>
      </c>
      <c r="C7" s="24" t="s">
        <v>248</v>
      </c>
      <c r="D7" s="24"/>
      <c r="E7" s="24" t="s">
        <v>246</v>
      </c>
      <c r="F7" s="22">
        <v>7.2860000000000004E-4</v>
      </c>
      <c r="G7" s="25"/>
      <c r="H7" s="24">
        <f t="shared" si="0"/>
        <v>7.2860000000000004E-4</v>
      </c>
      <c r="I7" s="26">
        <v>115</v>
      </c>
      <c r="J7" s="27">
        <f t="shared" si="1"/>
        <v>8.3789000000000002E-2</v>
      </c>
      <c r="K7" s="27">
        <f>IFERROR(J7*Продукт!B7,"")</f>
        <v>20947250</v>
      </c>
      <c r="L7" s="24"/>
      <c r="M7" s="24"/>
      <c r="N7" s="24"/>
      <c r="O7" s="24"/>
    </row>
    <row r="8" spans="1:15" ht="39.6" x14ac:dyDescent="0.3">
      <c r="A8" s="24">
        <v>3</v>
      </c>
      <c r="B8" s="24" t="s">
        <v>100</v>
      </c>
      <c r="C8" s="24" t="s">
        <v>249</v>
      </c>
      <c r="D8" s="24"/>
      <c r="E8" s="24" t="s">
        <v>246</v>
      </c>
      <c r="F8" s="22">
        <v>7.1789999999999994E-4</v>
      </c>
      <c r="G8" s="25"/>
      <c r="H8" s="24">
        <f t="shared" si="0"/>
        <v>7.1789999999999994E-4</v>
      </c>
      <c r="I8" s="26">
        <v>6900</v>
      </c>
      <c r="J8" s="27">
        <f t="shared" si="1"/>
        <v>4.9535099999999996</v>
      </c>
      <c r="K8" s="27">
        <f>IFERROR(J8*Продукт!B7,"")</f>
        <v>1238377500</v>
      </c>
      <c r="L8" s="24"/>
      <c r="M8" s="24"/>
      <c r="N8" s="24"/>
      <c r="O8" s="24"/>
    </row>
    <row r="9" spans="1:15" ht="26.4" x14ac:dyDescent="0.3">
      <c r="A9" s="24">
        <v>4</v>
      </c>
      <c r="B9" s="24" t="s">
        <v>100</v>
      </c>
      <c r="C9" s="24" t="s">
        <v>250</v>
      </c>
      <c r="D9" s="24"/>
      <c r="E9" s="24" t="s">
        <v>246</v>
      </c>
      <c r="F9" s="22">
        <v>1.4289999999999999E-3</v>
      </c>
      <c r="G9" s="25"/>
      <c r="H9" s="24">
        <f t="shared" si="0"/>
        <v>1.4289999999999999E-3</v>
      </c>
      <c r="I9" s="26">
        <v>1208</v>
      </c>
      <c r="J9" s="27">
        <f t="shared" si="1"/>
        <v>1.726232</v>
      </c>
      <c r="K9" s="27">
        <f>IFERROR(J9*Продукт!B7,"")</f>
        <v>431558000</v>
      </c>
      <c r="L9" s="24"/>
      <c r="M9" s="24"/>
      <c r="N9" s="24"/>
      <c r="O9" s="24"/>
    </row>
    <row r="10" spans="1:15" ht="26.4" x14ac:dyDescent="0.3">
      <c r="A10" s="24">
        <v>5</v>
      </c>
      <c r="B10" s="24" t="s">
        <v>100</v>
      </c>
      <c r="C10" s="24" t="s">
        <v>251</v>
      </c>
      <c r="D10" s="24"/>
      <c r="E10" s="24" t="s">
        <v>246</v>
      </c>
      <c r="F10" s="22">
        <v>1.4859999999999999E-3</v>
      </c>
      <c r="G10" s="25"/>
      <c r="H10" s="24">
        <f t="shared" si="0"/>
        <v>1.4859999999999999E-3</v>
      </c>
      <c r="I10" s="26">
        <v>50</v>
      </c>
      <c r="J10" s="27">
        <f t="shared" si="1"/>
        <v>7.4299999999999991E-2</v>
      </c>
      <c r="K10" s="27">
        <f>IFERROR(J10*Продукт!B7,"")</f>
        <v>18574999.999999996</v>
      </c>
      <c r="L10" s="24"/>
      <c r="M10" s="24"/>
      <c r="N10" s="24"/>
      <c r="O10" s="24"/>
    </row>
    <row r="11" spans="1:15" ht="26.4" x14ac:dyDescent="0.3">
      <c r="A11" s="24">
        <v>6</v>
      </c>
      <c r="B11" s="24" t="s">
        <v>100</v>
      </c>
      <c r="C11" s="24" t="s">
        <v>252</v>
      </c>
      <c r="D11" s="24"/>
      <c r="E11" s="24" t="s">
        <v>246</v>
      </c>
      <c r="F11" s="22">
        <v>5.9400000000000007E-6</v>
      </c>
      <c r="G11" s="25"/>
      <c r="H11" s="24">
        <f t="shared" si="0"/>
        <v>5.9400000000000007E-6</v>
      </c>
      <c r="I11" s="26">
        <v>17500</v>
      </c>
      <c r="J11" s="27">
        <f t="shared" si="1"/>
        <v>0.10395000000000001</v>
      </c>
      <c r="K11" s="27">
        <f>IFERROR(J11*Продукт!B7,"")</f>
        <v>25987500.000000004</v>
      </c>
      <c r="L11" s="24"/>
      <c r="M11" s="24"/>
      <c r="N11" s="24"/>
      <c r="O11" s="24"/>
    </row>
    <row r="12" spans="1:15" ht="26.4" x14ac:dyDescent="0.3">
      <c r="A12" s="24">
        <v>7</v>
      </c>
      <c r="B12" s="24" t="s">
        <v>100</v>
      </c>
      <c r="C12" s="24" t="s">
        <v>253</v>
      </c>
      <c r="D12" s="24"/>
      <c r="E12" s="24" t="s">
        <v>246</v>
      </c>
      <c r="F12" s="22">
        <v>7.2860000000000004E-4</v>
      </c>
      <c r="G12" s="25"/>
      <c r="H12" s="24">
        <f t="shared" si="0"/>
        <v>7.2860000000000004E-4</v>
      </c>
      <c r="I12" s="26">
        <v>271</v>
      </c>
      <c r="J12" s="27">
        <f t="shared" si="1"/>
        <v>0.1974506</v>
      </c>
      <c r="K12" s="27">
        <f>IFERROR(J12*Продукт!B7,"")</f>
        <v>49362650</v>
      </c>
      <c r="L12" s="24"/>
      <c r="M12" s="24"/>
      <c r="N12" s="24"/>
      <c r="O12" s="24"/>
    </row>
    <row r="13" spans="1:15" ht="26.4" x14ac:dyDescent="0.3">
      <c r="A13" s="24">
        <v>8</v>
      </c>
      <c r="B13" s="24" t="s">
        <v>100</v>
      </c>
      <c r="C13" s="24" t="s">
        <v>254</v>
      </c>
      <c r="D13" s="24"/>
      <c r="E13" s="24" t="s">
        <v>76</v>
      </c>
      <c r="F13" s="22">
        <v>3.735E-5</v>
      </c>
      <c r="G13" s="25"/>
      <c r="H13" s="24">
        <f t="shared" si="0"/>
        <v>3.735E-5</v>
      </c>
      <c r="I13" s="26">
        <v>116050</v>
      </c>
      <c r="J13" s="27">
        <f t="shared" si="1"/>
        <v>4.3344674999999997</v>
      </c>
      <c r="K13" s="27">
        <f>IFERROR(J13*Продукт!B7,"")</f>
        <v>1083616875</v>
      </c>
      <c r="L13" s="24"/>
      <c r="M13" s="24"/>
      <c r="N13" s="24"/>
      <c r="O13" s="24"/>
    </row>
    <row r="14" spans="1:15" x14ac:dyDescent="0.3">
      <c r="A14" s="4" t="s">
        <v>101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24">
        <v>9</v>
      </c>
      <c r="B15" s="24" t="s">
        <v>101</v>
      </c>
      <c r="C15" s="24" t="s">
        <v>102</v>
      </c>
      <c r="D15" s="24"/>
      <c r="E15" s="24" t="s">
        <v>51</v>
      </c>
      <c r="F15" s="22"/>
      <c r="G15" s="25"/>
      <c r="H15" s="24" t="str">
        <f t="shared" ref="H15:H22" si="2">IF(F15="","",F15*(1+IFERROR(G15,0)))</f>
        <v/>
      </c>
      <c r="I15" s="26"/>
      <c r="J15" s="27" t="str">
        <f t="shared" ref="J15:J22" si="3">IFERROR(H15*I15,"")</f>
        <v/>
      </c>
      <c r="K15" s="27" t="str">
        <f>IFERROR(J15*Продукт!B7,"")</f>
        <v/>
      </c>
      <c r="L15" s="24"/>
      <c r="M15" s="24"/>
      <c r="N15" s="24"/>
      <c r="O15" s="24"/>
    </row>
    <row r="16" spans="1:15" x14ac:dyDescent="0.3">
      <c r="A16" s="24">
        <v>10</v>
      </c>
      <c r="B16" s="24" t="s">
        <v>101</v>
      </c>
      <c r="C16" s="24" t="s">
        <v>103</v>
      </c>
      <c r="D16" s="24"/>
      <c r="E16" s="24" t="s">
        <v>51</v>
      </c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x14ac:dyDescent="0.3">
      <c r="A17" s="24">
        <v>11</v>
      </c>
      <c r="B17" s="24" t="s">
        <v>101</v>
      </c>
      <c r="C17" s="24" t="s">
        <v>104</v>
      </c>
      <c r="D17" s="24"/>
      <c r="E17" s="24" t="s">
        <v>51</v>
      </c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x14ac:dyDescent="0.3">
      <c r="A18" s="24">
        <v>12</v>
      </c>
      <c r="B18" s="24" t="s">
        <v>101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x14ac:dyDescent="0.3">
      <c r="A19" s="24">
        <v>13</v>
      </c>
      <c r="B19" s="24" t="s">
        <v>101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x14ac:dyDescent="0.3">
      <c r="A20" s="24">
        <v>14</v>
      </c>
      <c r="B20" s="24" t="s">
        <v>101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x14ac:dyDescent="0.3">
      <c r="A21" s="24">
        <v>15</v>
      </c>
      <c r="B21" s="24" t="s">
        <v>101</v>
      </c>
      <c r="C21" s="24"/>
      <c r="D21" s="24"/>
      <c r="E21" s="24"/>
      <c r="F21" s="22"/>
      <c r="G21" s="25"/>
      <c r="H21" s="24" t="str">
        <f t="shared" si="2"/>
        <v/>
      </c>
      <c r="I21" s="26"/>
      <c r="J21" s="27" t="str">
        <f t="shared" si="3"/>
        <v/>
      </c>
      <c r="K21" s="27" t="str">
        <f>IFERROR(J21*Продукт!B7,"")</f>
        <v/>
      </c>
      <c r="L21" s="24"/>
      <c r="M21" s="24"/>
      <c r="N21" s="24"/>
      <c r="O21" s="24"/>
    </row>
    <row r="22" spans="1:15" x14ac:dyDescent="0.3">
      <c r="A22" s="24">
        <v>16</v>
      </c>
      <c r="B22" s="24" t="s">
        <v>101</v>
      </c>
      <c r="C22" s="24"/>
      <c r="D22" s="24"/>
      <c r="E22" s="24"/>
      <c r="F22" s="22"/>
      <c r="G22" s="25"/>
      <c r="H22" s="24" t="str">
        <f t="shared" si="2"/>
        <v/>
      </c>
      <c r="I22" s="26"/>
      <c r="J22" s="27" t="str">
        <f t="shared" si="3"/>
        <v/>
      </c>
      <c r="K22" s="27" t="str">
        <f>IFERROR(J22*Продукт!B7,"")</f>
        <v/>
      </c>
      <c r="L22" s="24"/>
      <c r="M22" s="24"/>
      <c r="N22" s="24"/>
      <c r="O22" s="24"/>
    </row>
    <row r="23" spans="1:15" x14ac:dyDescent="0.3">
      <c r="A23" s="4" t="s">
        <v>105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">
      <c r="A24" s="24">
        <v>17</v>
      </c>
      <c r="B24" s="24" t="s">
        <v>105</v>
      </c>
      <c r="C24" s="24" t="s">
        <v>106</v>
      </c>
      <c r="D24" s="24"/>
      <c r="E24" s="24" t="s">
        <v>51</v>
      </c>
      <c r="F24" s="22"/>
      <c r="G24" s="25"/>
      <c r="H24" s="24" t="str">
        <f t="shared" ref="H24:H32" si="4">IF(F24="","",F24*(1+IFERROR(G24,0)))</f>
        <v/>
      </c>
      <c r="I24" s="26"/>
      <c r="J24" s="27" t="str">
        <f t="shared" ref="J24:J32" si="5">IFERROR(H24*I24,"")</f>
        <v/>
      </c>
      <c r="K24" s="27" t="str">
        <f>IFERROR(J24*Продукт!B7,"")</f>
        <v/>
      </c>
      <c r="L24" s="24"/>
      <c r="M24" s="24"/>
      <c r="N24" s="24"/>
      <c r="O24" s="24"/>
    </row>
    <row r="25" spans="1:15" x14ac:dyDescent="0.3">
      <c r="A25" s="24">
        <v>18</v>
      </c>
      <c r="B25" s="24" t="s">
        <v>105</v>
      </c>
      <c r="C25" s="24" t="s">
        <v>107</v>
      </c>
      <c r="D25" s="24"/>
      <c r="E25" s="24" t="s">
        <v>84</v>
      </c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x14ac:dyDescent="0.3">
      <c r="A26" s="24">
        <v>19</v>
      </c>
      <c r="B26" s="24" t="s">
        <v>105</v>
      </c>
      <c r="C26" s="24" t="s">
        <v>108</v>
      </c>
      <c r="D26" s="24"/>
      <c r="E26" s="24" t="s">
        <v>84</v>
      </c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x14ac:dyDescent="0.3">
      <c r="A27" s="24">
        <v>20</v>
      </c>
      <c r="B27" s="24" t="s">
        <v>105</v>
      </c>
      <c r="C27" s="24" t="s">
        <v>109</v>
      </c>
      <c r="D27" s="24"/>
      <c r="E27" s="24" t="s">
        <v>51</v>
      </c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x14ac:dyDescent="0.3">
      <c r="A28" s="24">
        <v>21</v>
      </c>
      <c r="B28" s="24" t="s">
        <v>105</v>
      </c>
      <c r="C28" s="24"/>
      <c r="D28" s="24"/>
      <c r="E28" s="24"/>
      <c r="F28" s="22"/>
      <c r="G28" s="25"/>
      <c r="H28" s="24" t="str">
        <f t="shared" si="4"/>
        <v/>
      </c>
      <c r="I28" s="26"/>
      <c r="J28" s="27" t="str">
        <f t="shared" si="5"/>
        <v/>
      </c>
      <c r="K28" s="27" t="str">
        <f>IFERROR(J28*Продукт!B7,"")</f>
        <v/>
      </c>
      <c r="L28" s="24"/>
      <c r="M28" s="24"/>
      <c r="N28" s="24"/>
      <c r="O28" s="24"/>
    </row>
    <row r="29" spans="1:15" x14ac:dyDescent="0.3">
      <c r="A29" s="24">
        <v>22</v>
      </c>
      <c r="B29" s="24" t="s">
        <v>105</v>
      </c>
      <c r="C29" s="24"/>
      <c r="D29" s="24"/>
      <c r="E29" s="24"/>
      <c r="F29" s="22"/>
      <c r="G29" s="25"/>
      <c r="H29" s="24" t="str">
        <f t="shared" si="4"/>
        <v/>
      </c>
      <c r="I29" s="26"/>
      <c r="J29" s="27" t="str">
        <f t="shared" si="5"/>
        <v/>
      </c>
      <c r="K29" s="27" t="str">
        <f>IFERROR(J29*Продукт!B7,"")</f>
        <v/>
      </c>
      <c r="L29" s="24"/>
      <c r="M29" s="24"/>
      <c r="N29" s="24"/>
      <c r="O29" s="24"/>
    </row>
    <row r="30" spans="1:15" x14ac:dyDescent="0.3">
      <c r="A30" s="24">
        <v>23</v>
      </c>
      <c r="B30" s="24" t="s">
        <v>105</v>
      </c>
      <c r="C30" s="24"/>
      <c r="D30" s="24"/>
      <c r="E30" s="24"/>
      <c r="F30" s="22"/>
      <c r="G30" s="25"/>
      <c r="H30" s="24" t="str">
        <f t="shared" si="4"/>
        <v/>
      </c>
      <c r="I30" s="26"/>
      <c r="J30" s="27" t="str">
        <f t="shared" si="5"/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24">
        <v>24</v>
      </c>
      <c r="B31" s="24" t="s">
        <v>105</v>
      </c>
      <c r="C31" s="24"/>
      <c r="D31" s="24"/>
      <c r="E31" s="24"/>
      <c r="F31" s="22"/>
      <c r="G31" s="25"/>
      <c r="H31" s="24" t="str">
        <f t="shared" si="4"/>
        <v/>
      </c>
      <c r="I31" s="26"/>
      <c r="J31" s="27" t="str">
        <f t="shared" si="5"/>
        <v/>
      </c>
      <c r="K31" s="27" t="str">
        <f>IFERROR(J31*Продукт!B7,"")</f>
        <v/>
      </c>
      <c r="L31" s="24"/>
      <c r="M31" s="24"/>
      <c r="N31" s="24"/>
      <c r="O31" s="24"/>
    </row>
    <row r="32" spans="1:15" x14ac:dyDescent="0.3">
      <c r="A32" s="24">
        <v>25</v>
      </c>
      <c r="B32" s="24" t="s">
        <v>105</v>
      </c>
      <c r="C32" s="24"/>
      <c r="D32" s="24"/>
      <c r="E32" s="24"/>
      <c r="F32" s="22"/>
      <c r="G32" s="25"/>
      <c r="H32" s="24" t="str">
        <f t="shared" si="4"/>
        <v/>
      </c>
      <c r="I32" s="26"/>
      <c r="J32" s="27" t="str">
        <f t="shared" si="5"/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3" t="s">
        <v>89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">
      <c r="A34" s="24">
        <v>26</v>
      </c>
      <c r="B34" s="24"/>
      <c r="C34" s="24"/>
      <c r="D34" s="24"/>
      <c r="E34" s="24"/>
      <c r="F34" s="22"/>
      <c r="G34" s="25"/>
      <c r="H34" s="24" t="str">
        <f>IF(F34="","",F34*(1+IFERROR(G34,0)))</f>
        <v/>
      </c>
      <c r="I34" s="26"/>
      <c r="J34" s="27" t="str">
        <f>IFERROR(H34*I34,"")</f>
        <v/>
      </c>
      <c r="K34" s="27" t="str">
        <f>IFERROR(J34*Продукт!B7,"")</f>
        <v/>
      </c>
      <c r="L34" s="24"/>
      <c r="M34" s="24"/>
      <c r="N34" s="24"/>
      <c r="O34" s="24"/>
    </row>
    <row r="35" spans="1:15" x14ac:dyDescent="0.3">
      <c r="A35" s="24">
        <v>27</v>
      </c>
      <c r="B35" s="24"/>
      <c r="C35" s="24"/>
      <c r="D35" s="24"/>
      <c r="E35" s="24"/>
      <c r="F35" s="22"/>
      <c r="G35" s="25"/>
      <c r="H35" s="24" t="str">
        <f>IF(F35="","",F35*(1+IFERROR(G35,0)))</f>
        <v/>
      </c>
      <c r="I35" s="26"/>
      <c r="J35" s="27" t="str">
        <f>IFERROR(H35*I35,"")</f>
        <v/>
      </c>
      <c r="K35" s="27" t="str">
        <f>IFERROR(J35*Продукт!B7,"")</f>
        <v/>
      </c>
      <c r="L35" s="24"/>
      <c r="M35" s="24"/>
      <c r="N35" s="24"/>
      <c r="O35" s="24"/>
    </row>
    <row r="36" spans="1:15" x14ac:dyDescent="0.3">
      <c r="A36" s="24">
        <v>28</v>
      </c>
      <c r="B36" s="24"/>
      <c r="C36" s="24"/>
      <c r="D36" s="24"/>
      <c r="E36" s="24"/>
      <c r="F36" s="22"/>
      <c r="G36" s="25"/>
      <c r="H36" s="24" t="str">
        <f>IF(F36="","",F36*(1+IFERROR(G36,0)))</f>
        <v/>
      </c>
      <c r="I36" s="26"/>
      <c r="J36" s="27" t="str">
        <f>IFERROR(H36*I36,"")</f>
        <v/>
      </c>
      <c r="K36" s="27" t="str">
        <f>IFERROR(J36*Продукт!B7,"")</f>
        <v/>
      </c>
      <c r="L36" s="24"/>
      <c r="M36" s="24"/>
      <c r="N36" s="24"/>
      <c r="O36" s="24"/>
    </row>
    <row r="37" spans="1:15" x14ac:dyDescent="0.3">
      <c r="A37" s="24">
        <v>29</v>
      </c>
      <c r="B37" s="24"/>
      <c r="C37" s="24"/>
      <c r="D37" s="24"/>
      <c r="E37" s="24"/>
      <c r="F37" s="22"/>
      <c r="G37" s="25"/>
      <c r="H37" s="24" t="str">
        <f>IF(F37="","",F37*(1+IFERROR(G37,0)))</f>
        <v/>
      </c>
      <c r="I37" s="26"/>
      <c r="J37" s="27" t="str">
        <f>IFERROR(H37*I37,"")</f>
        <v/>
      </c>
      <c r="K37" s="27" t="str">
        <f>IFERROR(J37*Продукт!B7,"")</f>
        <v/>
      </c>
      <c r="L37" s="24"/>
      <c r="M37" s="24"/>
      <c r="N37" s="24"/>
      <c r="O37" s="24"/>
    </row>
    <row r="38" spans="1:15" x14ac:dyDescent="0.3">
      <c r="A38" s="24">
        <v>30</v>
      </c>
      <c r="B38" s="24"/>
      <c r="C38" s="24"/>
      <c r="D38" s="24"/>
      <c r="E38" s="24"/>
      <c r="F38" s="22"/>
      <c r="G38" s="25"/>
      <c r="H38" s="24" t="str">
        <f>IF(F38="","",F38*(1+IFERROR(G38,0)))</f>
        <v/>
      </c>
      <c r="I38" s="26"/>
      <c r="J38" s="27" t="str">
        <f>IFERROR(H38*I38,"")</f>
        <v/>
      </c>
      <c r="K38" s="27" t="str">
        <f>IFERROR(J38*Продукт!B7,"")</f>
        <v/>
      </c>
      <c r="L38" s="24"/>
      <c r="M38" s="24"/>
      <c r="N38" s="24"/>
      <c r="O38" s="24"/>
    </row>
    <row r="40" spans="1:15" x14ac:dyDescent="0.3">
      <c r="A40" s="2" t="s">
        <v>90</v>
      </c>
      <c r="B40" s="2"/>
      <c r="C40" s="2"/>
      <c r="D40" s="2"/>
      <c r="E40" s="2"/>
      <c r="F40" s="2"/>
      <c r="G40" s="2"/>
      <c r="H40" s="2"/>
      <c r="I40" s="2"/>
      <c r="J40" s="28">
        <f>SUMIF(J5:J38,"&gt;0")</f>
        <v>11.655849100000001</v>
      </c>
      <c r="K40" s="28">
        <f>SUMIF(K5:K38,"&gt;0")</f>
        <v>2913962275</v>
      </c>
      <c r="L40" s="29"/>
      <c r="M40" s="29"/>
      <c r="N40" s="29"/>
      <c r="O40" s="29"/>
    </row>
  </sheetData>
  <mergeCells count="7">
    <mergeCell ref="A33:O33"/>
    <mergeCell ref="A40:I40"/>
    <mergeCell ref="A1:O1"/>
    <mergeCell ref="A2:O2"/>
    <mergeCell ref="A5:O5"/>
    <mergeCell ref="A14:O14"/>
    <mergeCell ref="A23:O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110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6.4" x14ac:dyDescent="0.3">
      <c r="A6" s="24">
        <v>1</v>
      </c>
      <c r="B6" s="24" t="s">
        <v>111</v>
      </c>
      <c r="C6" s="24" t="s">
        <v>112</v>
      </c>
      <c r="D6" s="24"/>
      <c r="E6" s="24" t="s">
        <v>51</v>
      </c>
      <c r="F6" s="22"/>
      <c r="G6" s="25"/>
      <c r="H6" s="24" t="str">
        <f t="shared" ref="H6:H11" si="0">IF(F6="","",F6*(1+IFERROR(G6,0)))</f>
        <v/>
      </c>
      <c r="I6" s="26"/>
      <c r="J6" s="27" t="str">
        <f t="shared" ref="J6:J11" si="1">IFERROR(H6*I6,"")</f>
        <v/>
      </c>
      <c r="K6" s="27" t="str">
        <f>IFERROR(J6*Продукт!B7,"")</f>
        <v/>
      </c>
      <c r="L6" s="24"/>
      <c r="M6" s="24"/>
      <c r="N6" s="24"/>
      <c r="O6" s="24"/>
    </row>
    <row r="7" spans="1:15" ht="26.4" x14ac:dyDescent="0.3">
      <c r="A7" s="24">
        <v>2</v>
      </c>
      <c r="B7" s="24" t="s">
        <v>111</v>
      </c>
      <c r="C7" s="24"/>
      <c r="D7" s="24"/>
      <c r="E7" s="24"/>
      <c r="F7" s="22"/>
      <c r="G7" s="25"/>
      <c r="H7" s="24" t="str">
        <f t="shared" si="0"/>
        <v/>
      </c>
      <c r="I7" s="26"/>
      <c r="J7" s="27" t="str">
        <f t="shared" si="1"/>
        <v/>
      </c>
      <c r="K7" s="27" t="str">
        <f>IFERROR(J7*Продукт!B7,"")</f>
        <v/>
      </c>
      <c r="L7" s="24"/>
      <c r="M7" s="24"/>
      <c r="N7" s="24"/>
      <c r="O7" s="24"/>
    </row>
    <row r="8" spans="1:15" ht="26.4" x14ac:dyDescent="0.3">
      <c r="A8" s="24">
        <v>3</v>
      </c>
      <c r="B8" s="24" t="s">
        <v>111</v>
      </c>
      <c r="C8" s="24"/>
      <c r="D8" s="24"/>
      <c r="E8" s="24"/>
      <c r="F8" s="22"/>
      <c r="G8" s="25"/>
      <c r="H8" s="24" t="str">
        <f t="shared" si="0"/>
        <v/>
      </c>
      <c r="I8" s="26"/>
      <c r="J8" s="27" t="str">
        <f t="shared" si="1"/>
        <v/>
      </c>
      <c r="K8" s="27" t="str">
        <f>IFERROR(J8*Продукт!B7,"")</f>
        <v/>
      </c>
      <c r="L8" s="24"/>
      <c r="M8" s="24"/>
      <c r="N8" s="24"/>
      <c r="O8" s="24"/>
    </row>
    <row r="9" spans="1:15" ht="26.4" x14ac:dyDescent="0.3">
      <c r="A9" s="24">
        <v>4</v>
      </c>
      <c r="B9" s="24" t="s">
        <v>111</v>
      </c>
      <c r="C9" s="24"/>
      <c r="D9" s="24"/>
      <c r="E9" s="24"/>
      <c r="F9" s="22"/>
      <c r="G9" s="25"/>
      <c r="H9" s="24" t="str">
        <f t="shared" si="0"/>
        <v/>
      </c>
      <c r="I9" s="26"/>
      <c r="J9" s="27" t="str">
        <f t="shared" si="1"/>
        <v/>
      </c>
      <c r="K9" s="27" t="str">
        <f>IFERROR(J9*Продукт!B7,"")</f>
        <v/>
      </c>
      <c r="L9" s="24"/>
      <c r="M9" s="24"/>
      <c r="N9" s="24"/>
      <c r="O9" s="24"/>
    </row>
    <row r="10" spans="1:15" ht="26.4" x14ac:dyDescent="0.3">
      <c r="A10" s="24">
        <v>5</v>
      </c>
      <c r="B10" s="24" t="s">
        <v>111</v>
      </c>
      <c r="C10" s="24"/>
      <c r="D10" s="24"/>
      <c r="E10" s="24"/>
      <c r="F10" s="22"/>
      <c r="G10" s="25"/>
      <c r="H10" s="24" t="str">
        <f t="shared" si="0"/>
        <v/>
      </c>
      <c r="I10" s="26"/>
      <c r="J10" s="27" t="str">
        <f t="shared" si="1"/>
        <v/>
      </c>
      <c r="K10" s="27" t="str">
        <f>IFERROR(J10*Продукт!B7,"")</f>
        <v/>
      </c>
      <c r="L10" s="24"/>
      <c r="M10" s="24"/>
      <c r="N10" s="24"/>
      <c r="O10" s="24"/>
    </row>
    <row r="11" spans="1:15" ht="26.4" x14ac:dyDescent="0.3">
      <c r="A11" s="24">
        <v>6</v>
      </c>
      <c r="B11" s="24" t="s">
        <v>111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x14ac:dyDescent="0.3">
      <c r="A12" s="4" t="s">
        <v>113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24">
        <v>7</v>
      </c>
      <c r="B13" s="24" t="s">
        <v>113</v>
      </c>
      <c r="C13" s="24" t="s">
        <v>114</v>
      </c>
      <c r="D13" s="24"/>
      <c r="E13" s="24" t="s">
        <v>51</v>
      </c>
      <c r="F13" s="22"/>
      <c r="G13" s="25"/>
      <c r="H13" s="24" t="str">
        <f t="shared" ref="H13:H20" si="2">IF(F13="","",F13*(1+IFERROR(G13,0)))</f>
        <v/>
      </c>
      <c r="I13" s="26"/>
      <c r="J13" s="27" t="str">
        <f t="shared" ref="J13:J20" si="3">IFERROR(H13*I13,"")</f>
        <v/>
      </c>
      <c r="K13" s="27" t="str">
        <f>IFERROR(J13*Продукт!B7,"")</f>
        <v/>
      </c>
      <c r="L13" s="24"/>
      <c r="M13" s="24"/>
      <c r="N13" s="24"/>
      <c r="O13" s="24"/>
    </row>
    <row r="14" spans="1:15" x14ac:dyDescent="0.3">
      <c r="A14" s="24">
        <v>8</v>
      </c>
      <c r="B14" s="24" t="s">
        <v>113</v>
      </c>
      <c r="C14" s="24" t="s">
        <v>115</v>
      </c>
      <c r="D14" s="24"/>
      <c r="E14" s="24" t="s">
        <v>51</v>
      </c>
      <c r="F14" s="22"/>
      <c r="G14" s="25"/>
      <c r="H14" s="24" t="str">
        <f t="shared" si="2"/>
        <v/>
      </c>
      <c r="I14" s="26"/>
      <c r="J14" s="27" t="str">
        <f t="shared" si="3"/>
        <v/>
      </c>
      <c r="K14" s="27" t="str">
        <f>IFERROR(J14*Продукт!B7,"")</f>
        <v/>
      </c>
      <c r="L14" s="24"/>
      <c r="M14" s="24"/>
      <c r="N14" s="24"/>
      <c r="O14" s="24"/>
    </row>
    <row r="15" spans="1:15" x14ac:dyDescent="0.3">
      <c r="A15" s="24">
        <v>9</v>
      </c>
      <c r="B15" s="24" t="s">
        <v>113</v>
      </c>
      <c r="C15" s="24" t="s">
        <v>116</v>
      </c>
      <c r="D15" s="24"/>
      <c r="E15" s="24" t="s">
        <v>51</v>
      </c>
      <c r="F15" s="22"/>
      <c r="G15" s="25"/>
      <c r="H15" s="24" t="str">
        <f t="shared" si="2"/>
        <v/>
      </c>
      <c r="I15" s="26"/>
      <c r="J15" s="27" t="str">
        <f t="shared" si="3"/>
        <v/>
      </c>
      <c r="K15" s="27" t="str">
        <f>IFERROR(J15*Продукт!B7,"")</f>
        <v/>
      </c>
      <c r="L15" s="24"/>
      <c r="M15" s="24"/>
      <c r="N15" s="24"/>
      <c r="O15" s="24"/>
    </row>
    <row r="16" spans="1:15" x14ac:dyDescent="0.3">
      <c r="A16" s="24">
        <v>10</v>
      </c>
      <c r="B16" s="24" t="s">
        <v>113</v>
      </c>
      <c r="C16" s="24"/>
      <c r="D16" s="24"/>
      <c r="E16" s="24"/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x14ac:dyDescent="0.3">
      <c r="A17" s="24">
        <v>11</v>
      </c>
      <c r="B17" s="24" t="s">
        <v>113</v>
      </c>
      <c r="C17" s="24"/>
      <c r="D17" s="24"/>
      <c r="E17" s="24"/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x14ac:dyDescent="0.3">
      <c r="A18" s="24">
        <v>12</v>
      </c>
      <c r="B18" s="24" t="s">
        <v>113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x14ac:dyDescent="0.3">
      <c r="A19" s="24">
        <v>13</v>
      </c>
      <c r="B19" s="24" t="s">
        <v>113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x14ac:dyDescent="0.3">
      <c r="A20" s="24">
        <v>14</v>
      </c>
      <c r="B20" s="24" t="s">
        <v>113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x14ac:dyDescent="0.3">
      <c r="A21" s="4" t="s">
        <v>117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26.4" x14ac:dyDescent="0.3">
      <c r="A22" s="24">
        <v>15</v>
      </c>
      <c r="B22" s="24" t="s">
        <v>117</v>
      </c>
      <c r="C22" s="24" t="s">
        <v>118</v>
      </c>
      <c r="D22" s="24"/>
      <c r="E22" s="24" t="s">
        <v>51</v>
      </c>
      <c r="F22" s="22"/>
      <c r="G22" s="25"/>
      <c r="H22" s="24" t="str">
        <f t="shared" ref="H22:H27" si="4">IF(F22="","",F22*(1+IFERROR(G22,0)))</f>
        <v/>
      </c>
      <c r="I22" s="26"/>
      <c r="J22" s="27" t="str">
        <f t="shared" ref="J22:J27" si="5">IFERROR(H22*I22,"")</f>
        <v/>
      </c>
      <c r="K22" s="27" t="str">
        <f>IFERROR(J22*Продукт!B7,"")</f>
        <v/>
      </c>
      <c r="L22" s="24"/>
      <c r="M22" s="24"/>
      <c r="N22" s="24"/>
      <c r="O22" s="24"/>
    </row>
    <row r="23" spans="1:15" ht="26.4" x14ac:dyDescent="0.3">
      <c r="A23" s="24">
        <v>16</v>
      </c>
      <c r="B23" s="24" t="s">
        <v>117</v>
      </c>
      <c r="C23" s="24"/>
      <c r="D23" s="24"/>
      <c r="E23" s="24"/>
      <c r="F23" s="22"/>
      <c r="G23" s="25"/>
      <c r="H23" s="24" t="str">
        <f t="shared" si="4"/>
        <v/>
      </c>
      <c r="I23" s="26"/>
      <c r="J23" s="27" t="str">
        <f t="shared" si="5"/>
        <v/>
      </c>
      <c r="K23" s="27" t="str">
        <f>IFERROR(J23*Продукт!B7,"")</f>
        <v/>
      </c>
      <c r="L23" s="24"/>
      <c r="M23" s="24"/>
      <c r="N23" s="24"/>
      <c r="O23" s="24"/>
    </row>
    <row r="24" spans="1:15" ht="26.4" x14ac:dyDescent="0.3">
      <c r="A24" s="24">
        <v>17</v>
      </c>
      <c r="B24" s="24" t="s">
        <v>117</v>
      </c>
      <c r="C24" s="24"/>
      <c r="D24" s="24"/>
      <c r="E24" s="24"/>
      <c r="F24" s="22"/>
      <c r="G24" s="25"/>
      <c r="H24" s="24" t="str">
        <f t="shared" si="4"/>
        <v/>
      </c>
      <c r="I24" s="26"/>
      <c r="J24" s="27" t="str">
        <f t="shared" si="5"/>
        <v/>
      </c>
      <c r="K24" s="27" t="str">
        <f>IFERROR(J24*Продукт!B7,"")</f>
        <v/>
      </c>
      <c r="L24" s="24"/>
      <c r="M24" s="24"/>
      <c r="N24" s="24"/>
      <c r="O24" s="24"/>
    </row>
    <row r="25" spans="1:15" ht="26.4" x14ac:dyDescent="0.3">
      <c r="A25" s="24">
        <v>18</v>
      </c>
      <c r="B25" s="24" t="s">
        <v>117</v>
      </c>
      <c r="C25" s="24"/>
      <c r="D25" s="24"/>
      <c r="E25" s="24"/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ht="26.4" x14ac:dyDescent="0.3">
      <c r="A26" s="24">
        <v>19</v>
      </c>
      <c r="B26" s="24" t="s">
        <v>117</v>
      </c>
      <c r="C26" s="24"/>
      <c r="D26" s="24"/>
      <c r="E26" s="24"/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ht="26.4" x14ac:dyDescent="0.3">
      <c r="A27" s="24">
        <v>20</v>
      </c>
      <c r="B27" s="24" t="s">
        <v>117</v>
      </c>
      <c r="C27" s="24"/>
      <c r="D27" s="24"/>
      <c r="E27" s="24"/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x14ac:dyDescent="0.3">
      <c r="A28" s="3" t="s">
        <v>89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">
      <c r="A29" s="24">
        <v>21</v>
      </c>
      <c r="B29" s="24"/>
      <c r="C29" s="24"/>
      <c r="D29" s="24"/>
      <c r="E29" s="24"/>
      <c r="F29" s="22"/>
      <c r="G29" s="25"/>
      <c r="H29" s="24" t="str">
        <f>IF(F29="","",F29*(1+IFERROR(G29,0)))</f>
        <v/>
      </c>
      <c r="I29" s="26"/>
      <c r="J29" s="27" t="str">
        <f>IFERROR(H29*I29,"")</f>
        <v/>
      </c>
      <c r="K29" s="27" t="str">
        <f>IFERROR(J29*Продукт!B7,"")</f>
        <v/>
      </c>
      <c r="L29" s="24"/>
      <c r="M29" s="24"/>
      <c r="N29" s="24"/>
      <c r="O29" s="24"/>
    </row>
    <row r="30" spans="1:15" x14ac:dyDescent="0.3">
      <c r="A30" s="24">
        <v>22</v>
      </c>
      <c r="B30" s="24"/>
      <c r="C30" s="24"/>
      <c r="D30" s="24"/>
      <c r="E30" s="24"/>
      <c r="F30" s="22"/>
      <c r="G30" s="25"/>
      <c r="H30" s="24" t="str">
        <f>IF(F30="","",F30*(1+IFERROR(G30,0)))</f>
        <v/>
      </c>
      <c r="I30" s="26"/>
      <c r="J30" s="27" t="str">
        <f>IFERROR(H30*I30,"")</f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24">
        <v>23</v>
      </c>
      <c r="B31" s="24"/>
      <c r="C31" s="24"/>
      <c r="D31" s="24"/>
      <c r="E31" s="24"/>
      <c r="F31" s="22"/>
      <c r="G31" s="25"/>
      <c r="H31" s="24" t="str">
        <f>IF(F31="","",F31*(1+IFERROR(G31,0)))</f>
        <v/>
      </c>
      <c r="I31" s="26"/>
      <c r="J31" s="27" t="str">
        <f>IFERROR(H31*I31,"")</f>
        <v/>
      </c>
      <c r="K31" s="27" t="str">
        <f>IFERROR(J31*Продукт!B7,"")</f>
        <v/>
      </c>
      <c r="L31" s="24"/>
      <c r="M31" s="24"/>
      <c r="N31" s="24"/>
      <c r="O31" s="24"/>
    </row>
    <row r="32" spans="1:15" x14ac:dyDescent="0.3">
      <c r="A32" s="24">
        <v>24</v>
      </c>
      <c r="B32" s="24"/>
      <c r="C32" s="24"/>
      <c r="D32" s="24"/>
      <c r="E32" s="24"/>
      <c r="F32" s="22"/>
      <c r="G32" s="25"/>
      <c r="H32" s="24" t="str">
        <f>IF(F32="","",F32*(1+IFERROR(G32,0)))</f>
        <v/>
      </c>
      <c r="I32" s="26"/>
      <c r="J32" s="27" t="str">
        <f>IFERROR(H32*I32,"")</f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24">
        <v>25</v>
      </c>
      <c r="B33" s="24"/>
      <c r="C33" s="24"/>
      <c r="D33" s="24"/>
      <c r="E33" s="24"/>
      <c r="F33" s="22"/>
      <c r="G33" s="25"/>
      <c r="H33" s="24" t="str">
        <f>IF(F33="","",F33*(1+IFERROR(G33,0)))</f>
        <v/>
      </c>
      <c r="I33" s="26"/>
      <c r="J33" s="27" t="str">
        <f>IFERROR(H33*I33,"")</f>
        <v/>
      </c>
      <c r="K33" s="27" t="str">
        <f>IFERROR(J33*Продукт!B7,"")</f>
        <v/>
      </c>
      <c r="L33" s="24"/>
      <c r="M33" s="24"/>
      <c r="N33" s="24"/>
      <c r="O33" s="24"/>
    </row>
    <row r="35" spans="1:15" x14ac:dyDescent="0.3">
      <c r="A35" s="2" t="s">
        <v>90</v>
      </c>
      <c r="B35" s="2"/>
      <c r="C35" s="2"/>
      <c r="D35" s="2"/>
      <c r="E35" s="2"/>
      <c r="F35" s="2"/>
      <c r="G35" s="2"/>
      <c r="H35" s="2"/>
      <c r="I35" s="2"/>
      <c r="J35" s="28">
        <f>SUMIF(J5:J33,"&gt;0")</f>
        <v>0</v>
      </c>
      <c r="K35" s="28">
        <f>SUMIF(K5:K33,"&gt;0")</f>
        <v>0</v>
      </c>
      <c r="L35" s="29"/>
      <c r="M35" s="29"/>
      <c r="N35" s="29"/>
      <c r="O35" s="29"/>
    </row>
  </sheetData>
  <mergeCells count="7">
    <mergeCell ref="A28:O28"/>
    <mergeCell ref="A35:I35"/>
    <mergeCell ref="A1:O1"/>
    <mergeCell ref="A2:O2"/>
    <mergeCell ref="A5:O5"/>
    <mergeCell ref="A12:O12"/>
    <mergeCell ref="A21:O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119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9.6" x14ac:dyDescent="0.3">
      <c r="A6" s="24">
        <v>1</v>
      </c>
      <c r="B6" s="24" t="s">
        <v>120</v>
      </c>
      <c r="C6" s="24" t="s">
        <v>121</v>
      </c>
      <c r="D6" s="24"/>
      <c r="E6" s="24" t="s">
        <v>51</v>
      </c>
      <c r="F6" s="22"/>
      <c r="G6" s="25"/>
      <c r="H6" s="24" t="str">
        <f t="shared" ref="H6:H13" si="0">IF(F6="","",F6*(1+IFERROR(G6,0)))</f>
        <v/>
      </c>
      <c r="I6" s="26"/>
      <c r="J6" s="27" t="str">
        <f t="shared" ref="J6:J13" si="1">IFERROR(H6*I6,"")</f>
        <v/>
      </c>
      <c r="K6" s="27" t="str">
        <f>IFERROR(J6*Продукт!B7,"")</f>
        <v/>
      </c>
      <c r="L6" s="24"/>
      <c r="M6" s="24"/>
      <c r="N6" s="24"/>
      <c r="O6" s="24"/>
    </row>
    <row r="7" spans="1:15" ht="39.6" x14ac:dyDescent="0.3">
      <c r="A7" s="24">
        <v>2</v>
      </c>
      <c r="B7" s="24" t="s">
        <v>120</v>
      </c>
      <c r="C7" s="24" t="s">
        <v>122</v>
      </c>
      <c r="D7" s="24"/>
      <c r="E7" s="24" t="s">
        <v>51</v>
      </c>
      <c r="F7" s="22"/>
      <c r="G7" s="25"/>
      <c r="H7" s="24" t="str">
        <f t="shared" si="0"/>
        <v/>
      </c>
      <c r="I7" s="26"/>
      <c r="J7" s="27" t="str">
        <f t="shared" si="1"/>
        <v/>
      </c>
      <c r="K7" s="27" t="str">
        <f>IFERROR(J7*Продукт!B7,"")</f>
        <v/>
      </c>
      <c r="L7" s="24"/>
      <c r="M7" s="24"/>
      <c r="N7" s="24"/>
      <c r="O7" s="24"/>
    </row>
    <row r="8" spans="1:15" ht="39.6" x14ac:dyDescent="0.3">
      <c r="A8" s="24">
        <v>3</v>
      </c>
      <c r="B8" s="24" t="s">
        <v>120</v>
      </c>
      <c r="C8" s="24" t="s">
        <v>123</v>
      </c>
      <c r="D8" s="24"/>
      <c r="E8" s="24" t="s">
        <v>51</v>
      </c>
      <c r="F8" s="22"/>
      <c r="G8" s="25"/>
      <c r="H8" s="24" t="str">
        <f t="shared" si="0"/>
        <v/>
      </c>
      <c r="I8" s="26"/>
      <c r="J8" s="27" t="str">
        <f t="shared" si="1"/>
        <v/>
      </c>
      <c r="K8" s="27" t="str">
        <f>IFERROR(J8*Продукт!B7,"")</f>
        <v/>
      </c>
      <c r="L8" s="24"/>
      <c r="M8" s="24"/>
      <c r="N8" s="24"/>
      <c r="O8" s="24"/>
    </row>
    <row r="9" spans="1:15" ht="39.6" x14ac:dyDescent="0.3">
      <c r="A9" s="24">
        <v>4</v>
      </c>
      <c r="B9" s="24" t="s">
        <v>120</v>
      </c>
      <c r="C9" s="24"/>
      <c r="D9" s="24"/>
      <c r="E9" s="24"/>
      <c r="F9" s="22"/>
      <c r="G9" s="25"/>
      <c r="H9" s="24" t="str">
        <f t="shared" si="0"/>
        <v/>
      </c>
      <c r="I9" s="26"/>
      <c r="J9" s="27" t="str">
        <f t="shared" si="1"/>
        <v/>
      </c>
      <c r="K9" s="27" t="str">
        <f>IFERROR(J9*Продукт!B7,"")</f>
        <v/>
      </c>
      <c r="L9" s="24"/>
      <c r="M9" s="24"/>
      <c r="N9" s="24"/>
      <c r="O9" s="24"/>
    </row>
    <row r="10" spans="1:15" ht="39.6" x14ac:dyDescent="0.3">
      <c r="A10" s="24">
        <v>5</v>
      </c>
      <c r="B10" s="24" t="s">
        <v>120</v>
      </c>
      <c r="C10" s="24"/>
      <c r="D10" s="24"/>
      <c r="E10" s="24"/>
      <c r="F10" s="22"/>
      <c r="G10" s="25"/>
      <c r="H10" s="24" t="str">
        <f t="shared" si="0"/>
        <v/>
      </c>
      <c r="I10" s="26"/>
      <c r="J10" s="27" t="str">
        <f t="shared" si="1"/>
        <v/>
      </c>
      <c r="K10" s="27" t="str">
        <f>IFERROR(J10*Продукт!B7,"")</f>
        <v/>
      </c>
      <c r="L10" s="24"/>
      <c r="M10" s="24"/>
      <c r="N10" s="24"/>
      <c r="O10" s="24"/>
    </row>
    <row r="11" spans="1:15" ht="39.6" x14ac:dyDescent="0.3">
      <c r="A11" s="24">
        <v>6</v>
      </c>
      <c r="B11" s="24" t="s">
        <v>120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ht="39.6" x14ac:dyDescent="0.3">
      <c r="A12" s="24">
        <v>7</v>
      </c>
      <c r="B12" s="24" t="s">
        <v>120</v>
      </c>
      <c r="C12" s="24"/>
      <c r="D12" s="24"/>
      <c r="E12" s="24"/>
      <c r="F12" s="22"/>
      <c r="G12" s="25"/>
      <c r="H12" s="24" t="str">
        <f t="shared" si="0"/>
        <v/>
      </c>
      <c r="I12" s="26"/>
      <c r="J12" s="27" t="str">
        <f t="shared" si="1"/>
        <v/>
      </c>
      <c r="K12" s="27" t="str">
        <f>IFERROR(J12*Продукт!B7,"")</f>
        <v/>
      </c>
      <c r="L12" s="24"/>
      <c r="M12" s="24"/>
      <c r="N12" s="24"/>
      <c r="O12" s="24"/>
    </row>
    <row r="13" spans="1:15" ht="39.6" x14ac:dyDescent="0.3">
      <c r="A13" s="24">
        <v>8</v>
      </c>
      <c r="B13" s="24" t="s">
        <v>120</v>
      </c>
      <c r="C13" s="24"/>
      <c r="D13" s="24"/>
      <c r="E13" s="24"/>
      <c r="F13" s="22"/>
      <c r="G13" s="25"/>
      <c r="H13" s="24" t="str">
        <f t="shared" si="0"/>
        <v/>
      </c>
      <c r="I13" s="26"/>
      <c r="J13" s="27" t="str">
        <f t="shared" si="1"/>
        <v/>
      </c>
      <c r="K13" s="27" t="str">
        <f>IFERROR(J13*Продукт!B7,"")</f>
        <v/>
      </c>
      <c r="L13" s="24"/>
      <c r="M13" s="24"/>
      <c r="N13" s="24"/>
      <c r="O13" s="24"/>
    </row>
    <row r="14" spans="1:15" x14ac:dyDescent="0.3">
      <c r="A14" s="4" t="s">
        <v>124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6.4" x14ac:dyDescent="0.3">
      <c r="A15" s="24">
        <v>9</v>
      </c>
      <c r="B15" s="24" t="s">
        <v>124</v>
      </c>
      <c r="C15" s="24" t="s">
        <v>125</v>
      </c>
      <c r="D15" s="24"/>
      <c r="E15" s="24" t="s">
        <v>51</v>
      </c>
      <c r="F15" s="22"/>
      <c r="G15" s="25"/>
      <c r="H15" s="24" t="str">
        <f t="shared" ref="H15:H22" si="2">IF(F15="","",F15*(1+IFERROR(G15,0)))</f>
        <v/>
      </c>
      <c r="I15" s="26"/>
      <c r="J15" s="27" t="str">
        <f t="shared" ref="J15:J22" si="3">IFERROR(H15*I15,"")</f>
        <v/>
      </c>
      <c r="K15" s="27" t="str">
        <f>IFERROR(J15*Продукт!B7,"")</f>
        <v/>
      </c>
      <c r="L15" s="24"/>
      <c r="M15" s="24"/>
      <c r="N15" s="24"/>
      <c r="O15" s="24"/>
    </row>
    <row r="16" spans="1:15" ht="26.4" x14ac:dyDescent="0.3">
      <c r="A16" s="24">
        <v>10</v>
      </c>
      <c r="B16" s="24" t="s">
        <v>124</v>
      </c>
      <c r="C16" s="24" t="s">
        <v>126</v>
      </c>
      <c r="D16" s="24"/>
      <c r="E16" s="24" t="s">
        <v>51</v>
      </c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ht="26.4" x14ac:dyDescent="0.3">
      <c r="A17" s="24">
        <v>11</v>
      </c>
      <c r="B17" s="24" t="s">
        <v>124</v>
      </c>
      <c r="C17" s="24" t="s">
        <v>127</v>
      </c>
      <c r="D17" s="24"/>
      <c r="E17" s="24" t="s">
        <v>51</v>
      </c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ht="26.4" x14ac:dyDescent="0.3">
      <c r="A18" s="24">
        <v>12</v>
      </c>
      <c r="B18" s="24" t="s">
        <v>124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ht="26.4" x14ac:dyDescent="0.3">
      <c r="A19" s="24">
        <v>13</v>
      </c>
      <c r="B19" s="24" t="s">
        <v>124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ht="26.4" x14ac:dyDescent="0.3">
      <c r="A20" s="24">
        <v>14</v>
      </c>
      <c r="B20" s="24" t="s">
        <v>124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ht="26.4" x14ac:dyDescent="0.3">
      <c r="A21" s="24">
        <v>15</v>
      </c>
      <c r="B21" s="24" t="s">
        <v>124</v>
      </c>
      <c r="C21" s="24"/>
      <c r="D21" s="24"/>
      <c r="E21" s="24"/>
      <c r="F21" s="22"/>
      <c r="G21" s="25"/>
      <c r="H21" s="24" t="str">
        <f t="shared" si="2"/>
        <v/>
      </c>
      <c r="I21" s="26"/>
      <c r="J21" s="27" t="str">
        <f t="shared" si="3"/>
        <v/>
      </c>
      <c r="K21" s="27" t="str">
        <f>IFERROR(J21*Продукт!B7,"")</f>
        <v/>
      </c>
      <c r="L21" s="24"/>
      <c r="M21" s="24"/>
      <c r="N21" s="24"/>
      <c r="O21" s="24"/>
    </row>
    <row r="22" spans="1:15" ht="26.4" x14ac:dyDescent="0.3">
      <c r="A22" s="24">
        <v>16</v>
      </c>
      <c r="B22" s="24" t="s">
        <v>124</v>
      </c>
      <c r="C22" s="24"/>
      <c r="D22" s="24"/>
      <c r="E22" s="24"/>
      <c r="F22" s="22"/>
      <c r="G22" s="25"/>
      <c r="H22" s="24" t="str">
        <f t="shared" si="2"/>
        <v/>
      </c>
      <c r="I22" s="26"/>
      <c r="J22" s="27" t="str">
        <f t="shared" si="3"/>
        <v/>
      </c>
      <c r="K22" s="27" t="str">
        <f>IFERROR(J22*Продукт!B7,"")</f>
        <v/>
      </c>
      <c r="L22" s="24"/>
      <c r="M22" s="24"/>
      <c r="N22" s="24"/>
      <c r="O22" s="24"/>
    </row>
    <row r="23" spans="1:15" x14ac:dyDescent="0.3">
      <c r="A23" s="4" t="s">
        <v>128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39.6" x14ac:dyDescent="0.3">
      <c r="A24" s="24">
        <v>17</v>
      </c>
      <c r="B24" s="24" t="s">
        <v>128</v>
      </c>
      <c r="C24" s="24" t="s">
        <v>129</v>
      </c>
      <c r="D24" s="24"/>
      <c r="E24" s="24" t="s">
        <v>51</v>
      </c>
      <c r="F24" s="22"/>
      <c r="G24" s="25"/>
      <c r="H24" s="24" t="str">
        <f t="shared" ref="H24:H30" si="4">IF(F24="","",F24*(1+IFERROR(G24,0)))</f>
        <v/>
      </c>
      <c r="I24" s="26"/>
      <c r="J24" s="27" t="str">
        <f t="shared" ref="J24:J30" si="5">IFERROR(H24*I24,"")</f>
        <v/>
      </c>
      <c r="K24" s="27" t="str">
        <f>IFERROR(J24*Продукт!B7,"")</f>
        <v/>
      </c>
      <c r="L24" s="24"/>
      <c r="M24" s="24"/>
      <c r="N24" s="24"/>
      <c r="O24" s="24"/>
    </row>
    <row r="25" spans="1:15" ht="39.6" x14ac:dyDescent="0.3">
      <c r="A25" s="24">
        <v>18</v>
      </c>
      <c r="B25" s="24" t="s">
        <v>128</v>
      </c>
      <c r="C25" s="24" t="s">
        <v>130</v>
      </c>
      <c r="D25" s="24"/>
      <c r="E25" s="24" t="s">
        <v>51</v>
      </c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ht="39.6" x14ac:dyDescent="0.3">
      <c r="A26" s="24">
        <v>19</v>
      </c>
      <c r="B26" s="24" t="s">
        <v>128</v>
      </c>
      <c r="C26" s="24"/>
      <c r="D26" s="24"/>
      <c r="E26" s="24"/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ht="39.6" x14ac:dyDescent="0.3">
      <c r="A27" s="24">
        <v>20</v>
      </c>
      <c r="B27" s="24" t="s">
        <v>128</v>
      </c>
      <c r="C27" s="24"/>
      <c r="D27" s="24"/>
      <c r="E27" s="24"/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ht="39.6" x14ac:dyDescent="0.3">
      <c r="A28" s="24">
        <v>21</v>
      </c>
      <c r="B28" s="24" t="s">
        <v>128</v>
      </c>
      <c r="C28" s="24"/>
      <c r="D28" s="24"/>
      <c r="E28" s="24"/>
      <c r="F28" s="22"/>
      <c r="G28" s="25"/>
      <c r="H28" s="24" t="str">
        <f t="shared" si="4"/>
        <v/>
      </c>
      <c r="I28" s="26"/>
      <c r="J28" s="27" t="str">
        <f t="shared" si="5"/>
        <v/>
      </c>
      <c r="K28" s="27" t="str">
        <f>IFERROR(J28*Продукт!B7,"")</f>
        <v/>
      </c>
      <c r="L28" s="24"/>
      <c r="M28" s="24"/>
      <c r="N28" s="24"/>
      <c r="O28" s="24"/>
    </row>
    <row r="29" spans="1:15" ht="39.6" x14ac:dyDescent="0.3">
      <c r="A29" s="24">
        <v>22</v>
      </c>
      <c r="B29" s="24" t="s">
        <v>128</v>
      </c>
      <c r="C29" s="24"/>
      <c r="D29" s="24"/>
      <c r="E29" s="24"/>
      <c r="F29" s="22"/>
      <c r="G29" s="25"/>
      <c r="H29" s="24" t="str">
        <f t="shared" si="4"/>
        <v/>
      </c>
      <c r="I29" s="26"/>
      <c r="J29" s="27" t="str">
        <f t="shared" si="5"/>
        <v/>
      </c>
      <c r="K29" s="27" t="str">
        <f>IFERROR(J29*Продукт!B7,"")</f>
        <v/>
      </c>
      <c r="L29" s="24"/>
      <c r="M29" s="24"/>
      <c r="N29" s="24"/>
      <c r="O29" s="24"/>
    </row>
    <row r="30" spans="1:15" ht="39.6" x14ac:dyDescent="0.3">
      <c r="A30" s="24">
        <v>23</v>
      </c>
      <c r="B30" s="24" t="s">
        <v>128</v>
      </c>
      <c r="C30" s="24"/>
      <c r="D30" s="24"/>
      <c r="E30" s="24"/>
      <c r="F30" s="22"/>
      <c r="G30" s="25"/>
      <c r="H30" s="24" t="str">
        <f t="shared" si="4"/>
        <v/>
      </c>
      <c r="I30" s="26"/>
      <c r="J30" s="27" t="str">
        <f t="shared" si="5"/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3" t="s">
        <v>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">
      <c r="A32" s="24">
        <v>24</v>
      </c>
      <c r="B32" s="24"/>
      <c r="C32" s="24"/>
      <c r="D32" s="24"/>
      <c r="E32" s="24"/>
      <c r="F32" s="22"/>
      <c r="G32" s="25"/>
      <c r="H32" s="24" t="str">
        <f>IF(F32="","",F32*(1+IFERROR(G32,0)))</f>
        <v/>
      </c>
      <c r="I32" s="26"/>
      <c r="J32" s="27" t="str">
        <f>IFERROR(H32*I32,"")</f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24">
        <v>25</v>
      </c>
      <c r="B33" s="24"/>
      <c r="C33" s="24"/>
      <c r="D33" s="24"/>
      <c r="E33" s="24"/>
      <c r="F33" s="22"/>
      <c r="G33" s="25"/>
      <c r="H33" s="24" t="str">
        <f>IF(F33="","",F33*(1+IFERROR(G33,0)))</f>
        <v/>
      </c>
      <c r="I33" s="26"/>
      <c r="J33" s="27" t="str">
        <f>IFERROR(H33*I33,"")</f>
        <v/>
      </c>
      <c r="K33" s="27" t="str">
        <f>IFERROR(J33*Продукт!B7,"")</f>
        <v/>
      </c>
      <c r="L33" s="24"/>
      <c r="M33" s="24"/>
      <c r="N33" s="24"/>
      <c r="O33" s="24"/>
    </row>
    <row r="34" spans="1:15" x14ac:dyDescent="0.3">
      <c r="A34" s="24">
        <v>26</v>
      </c>
      <c r="B34" s="24"/>
      <c r="C34" s="24"/>
      <c r="D34" s="24"/>
      <c r="E34" s="24"/>
      <c r="F34" s="22"/>
      <c r="G34" s="25"/>
      <c r="H34" s="24" t="str">
        <f>IF(F34="","",F34*(1+IFERROR(G34,0)))</f>
        <v/>
      </c>
      <c r="I34" s="26"/>
      <c r="J34" s="27" t="str">
        <f>IFERROR(H34*I34,"")</f>
        <v/>
      </c>
      <c r="K34" s="27" t="str">
        <f>IFERROR(J34*Продукт!B7,"")</f>
        <v/>
      </c>
      <c r="L34" s="24"/>
      <c r="M34" s="24"/>
      <c r="N34" s="24"/>
      <c r="O34" s="24"/>
    </row>
    <row r="35" spans="1:15" x14ac:dyDescent="0.3">
      <c r="A35" s="24">
        <v>27</v>
      </c>
      <c r="B35" s="24"/>
      <c r="C35" s="24"/>
      <c r="D35" s="24"/>
      <c r="E35" s="24"/>
      <c r="F35" s="22"/>
      <c r="G35" s="25"/>
      <c r="H35" s="24" t="str">
        <f>IF(F35="","",F35*(1+IFERROR(G35,0)))</f>
        <v/>
      </c>
      <c r="I35" s="26"/>
      <c r="J35" s="27" t="str">
        <f>IFERROR(H35*I35,"")</f>
        <v/>
      </c>
      <c r="K35" s="27" t="str">
        <f>IFERROR(J35*Продукт!B7,"")</f>
        <v/>
      </c>
      <c r="L35" s="24"/>
      <c r="M35" s="24"/>
      <c r="N35" s="24"/>
      <c r="O35" s="24"/>
    </row>
    <row r="36" spans="1:15" x14ac:dyDescent="0.3">
      <c r="A36" s="24">
        <v>28</v>
      </c>
      <c r="B36" s="24"/>
      <c r="C36" s="24"/>
      <c r="D36" s="24"/>
      <c r="E36" s="24"/>
      <c r="F36" s="22"/>
      <c r="G36" s="25"/>
      <c r="H36" s="24" t="str">
        <f>IF(F36="","",F36*(1+IFERROR(G36,0)))</f>
        <v/>
      </c>
      <c r="I36" s="26"/>
      <c r="J36" s="27" t="str">
        <f>IFERROR(H36*I36,"")</f>
        <v/>
      </c>
      <c r="K36" s="27" t="str">
        <f>IFERROR(J36*Продукт!B7,"")</f>
        <v/>
      </c>
      <c r="L36" s="24"/>
      <c r="M36" s="24"/>
      <c r="N36" s="24"/>
      <c r="O36" s="24"/>
    </row>
    <row r="38" spans="1:15" x14ac:dyDescent="0.3">
      <c r="A38" s="2" t="s">
        <v>90</v>
      </c>
      <c r="B38" s="2"/>
      <c r="C38" s="2"/>
      <c r="D38" s="2"/>
      <c r="E38" s="2"/>
      <c r="F38" s="2"/>
      <c r="G38" s="2"/>
      <c r="H38" s="2"/>
      <c r="I38" s="2"/>
      <c r="J38" s="28">
        <f>SUMIF(J5:J36,"&gt;0")</f>
        <v>0</v>
      </c>
      <c r="K38" s="28">
        <f>SUMIF(K5:K36,"&gt;0")</f>
        <v>0</v>
      </c>
      <c r="L38" s="29"/>
      <c r="M38" s="29"/>
      <c r="N38" s="29"/>
      <c r="O38" s="29"/>
    </row>
  </sheetData>
  <mergeCells count="7">
    <mergeCell ref="A31:O31"/>
    <mergeCell ref="A38:I38"/>
    <mergeCell ref="A1:O1"/>
    <mergeCell ref="A2:O2"/>
    <mergeCell ref="A5:O5"/>
    <mergeCell ref="A14:O14"/>
    <mergeCell ref="A23:O2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131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132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6.4" x14ac:dyDescent="0.3">
      <c r="A6" s="24">
        <v>1</v>
      </c>
      <c r="B6" s="24" t="s">
        <v>132</v>
      </c>
      <c r="C6" s="24" t="s">
        <v>133</v>
      </c>
      <c r="D6" s="24"/>
      <c r="E6" s="24" t="s">
        <v>51</v>
      </c>
      <c r="F6" s="22"/>
      <c r="G6" s="25"/>
      <c r="H6" s="24" t="str">
        <f t="shared" ref="H6:H13" si="0">IF(F6="","",F6*(1+IFERROR(G6,0)))</f>
        <v/>
      </c>
      <c r="I6" s="26"/>
      <c r="J6" s="27" t="str">
        <f t="shared" ref="J6:J13" si="1">IFERROR(H6*I6,"")</f>
        <v/>
      </c>
      <c r="K6" s="27" t="str">
        <f>IFERROR(J6*Продукт!B7,"")</f>
        <v/>
      </c>
      <c r="L6" s="24"/>
      <c r="M6" s="24"/>
      <c r="N6" s="24"/>
      <c r="O6" s="24"/>
    </row>
    <row r="7" spans="1:15" ht="26.4" x14ac:dyDescent="0.3">
      <c r="A7" s="24">
        <v>2</v>
      </c>
      <c r="B7" s="24" t="s">
        <v>132</v>
      </c>
      <c r="C7" s="24" t="s">
        <v>134</v>
      </c>
      <c r="D7" s="24"/>
      <c r="E7" s="24" t="s">
        <v>51</v>
      </c>
      <c r="F7" s="22"/>
      <c r="G7" s="25"/>
      <c r="H7" s="24" t="str">
        <f t="shared" si="0"/>
        <v/>
      </c>
      <c r="I7" s="26"/>
      <c r="J7" s="27" t="str">
        <f t="shared" si="1"/>
        <v/>
      </c>
      <c r="K7" s="27" t="str">
        <f>IFERROR(J7*Продукт!B7,"")</f>
        <v/>
      </c>
      <c r="L7" s="24"/>
      <c r="M7" s="24"/>
      <c r="N7" s="24"/>
      <c r="O7" s="24"/>
    </row>
    <row r="8" spans="1:15" ht="26.4" x14ac:dyDescent="0.3">
      <c r="A8" s="24">
        <v>3</v>
      </c>
      <c r="B8" s="24" t="s">
        <v>132</v>
      </c>
      <c r="C8" s="24" t="s">
        <v>135</v>
      </c>
      <c r="D8" s="24"/>
      <c r="E8" s="24" t="s">
        <v>51</v>
      </c>
      <c r="F8" s="22"/>
      <c r="G8" s="25"/>
      <c r="H8" s="24" t="str">
        <f t="shared" si="0"/>
        <v/>
      </c>
      <c r="I8" s="26"/>
      <c r="J8" s="27" t="str">
        <f t="shared" si="1"/>
        <v/>
      </c>
      <c r="K8" s="27" t="str">
        <f>IFERROR(J8*Продукт!B7,"")</f>
        <v/>
      </c>
      <c r="L8" s="24"/>
      <c r="M8" s="24"/>
      <c r="N8" s="24"/>
      <c r="O8" s="24"/>
    </row>
    <row r="9" spans="1:15" ht="26.4" x14ac:dyDescent="0.3">
      <c r="A9" s="24">
        <v>4</v>
      </c>
      <c r="B9" s="24" t="s">
        <v>132</v>
      </c>
      <c r="C9" s="24"/>
      <c r="D9" s="24"/>
      <c r="E9" s="24"/>
      <c r="F9" s="22"/>
      <c r="G9" s="25"/>
      <c r="H9" s="24" t="str">
        <f t="shared" si="0"/>
        <v/>
      </c>
      <c r="I9" s="26"/>
      <c r="J9" s="27" t="str">
        <f t="shared" si="1"/>
        <v/>
      </c>
      <c r="K9" s="27" t="str">
        <f>IFERROR(J9*Продукт!B7,"")</f>
        <v/>
      </c>
      <c r="L9" s="24"/>
      <c r="M9" s="24"/>
      <c r="N9" s="24"/>
      <c r="O9" s="24"/>
    </row>
    <row r="10" spans="1:15" ht="26.4" x14ac:dyDescent="0.3">
      <c r="A10" s="24">
        <v>5</v>
      </c>
      <c r="B10" s="24" t="s">
        <v>132</v>
      </c>
      <c r="C10" s="24"/>
      <c r="D10" s="24"/>
      <c r="E10" s="24"/>
      <c r="F10" s="22"/>
      <c r="G10" s="25"/>
      <c r="H10" s="24" t="str">
        <f t="shared" si="0"/>
        <v/>
      </c>
      <c r="I10" s="26"/>
      <c r="J10" s="27" t="str">
        <f t="shared" si="1"/>
        <v/>
      </c>
      <c r="K10" s="27" t="str">
        <f>IFERROR(J10*Продукт!B7,"")</f>
        <v/>
      </c>
      <c r="L10" s="24"/>
      <c r="M10" s="24"/>
      <c r="N10" s="24"/>
      <c r="O10" s="24"/>
    </row>
    <row r="11" spans="1:15" ht="26.4" x14ac:dyDescent="0.3">
      <c r="A11" s="24">
        <v>6</v>
      </c>
      <c r="B11" s="24" t="s">
        <v>132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ht="26.4" x14ac:dyDescent="0.3">
      <c r="A12" s="24">
        <v>7</v>
      </c>
      <c r="B12" s="24" t="s">
        <v>132</v>
      </c>
      <c r="C12" s="24"/>
      <c r="D12" s="24"/>
      <c r="E12" s="24"/>
      <c r="F12" s="22"/>
      <c r="G12" s="25"/>
      <c r="H12" s="24" t="str">
        <f t="shared" si="0"/>
        <v/>
      </c>
      <c r="I12" s="26"/>
      <c r="J12" s="27" t="str">
        <f t="shared" si="1"/>
        <v/>
      </c>
      <c r="K12" s="27" t="str">
        <f>IFERROR(J12*Продукт!B7,"")</f>
        <v/>
      </c>
      <c r="L12" s="24"/>
      <c r="M12" s="24"/>
      <c r="N12" s="24"/>
      <c r="O12" s="24"/>
    </row>
    <row r="13" spans="1:15" ht="26.4" x14ac:dyDescent="0.3">
      <c r="A13" s="24">
        <v>8</v>
      </c>
      <c r="B13" s="24" t="s">
        <v>132</v>
      </c>
      <c r="C13" s="24"/>
      <c r="D13" s="24"/>
      <c r="E13" s="24"/>
      <c r="F13" s="22"/>
      <c r="G13" s="25"/>
      <c r="H13" s="24" t="str">
        <f t="shared" si="0"/>
        <v/>
      </c>
      <c r="I13" s="26"/>
      <c r="J13" s="27" t="str">
        <f t="shared" si="1"/>
        <v/>
      </c>
      <c r="K13" s="27" t="str">
        <f>IFERROR(J13*Продукт!B7,"")</f>
        <v/>
      </c>
      <c r="L13" s="24"/>
      <c r="M13" s="24"/>
      <c r="N13" s="24"/>
      <c r="O13" s="24"/>
    </row>
    <row r="14" spans="1:15" x14ac:dyDescent="0.3">
      <c r="A14" s="4" t="s">
        <v>136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39.6" x14ac:dyDescent="0.3">
      <c r="A15" s="24">
        <v>9</v>
      </c>
      <c r="B15" s="24" t="s">
        <v>136</v>
      </c>
      <c r="C15" s="24" t="s">
        <v>137</v>
      </c>
      <c r="D15" s="24"/>
      <c r="E15" s="24" t="s">
        <v>51</v>
      </c>
      <c r="F15" s="22"/>
      <c r="G15" s="25"/>
      <c r="H15" s="24" t="str">
        <f t="shared" ref="H15:H22" si="2">IF(F15="","",F15*(1+IFERROR(G15,0)))</f>
        <v/>
      </c>
      <c r="I15" s="26"/>
      <c r="J15" s="27" t="str">
        <f t="shared" ref="J15:J22" si="3">IFERROR(H15*I15,"")</f>
        <v/>
      </c>
      <c r="K15" s="27" t="str">
        <f>IFERROR(J15*Продукт!B7,"")</f>
        <v/>
      </c>
      <c r="L15" s="24"/>
      <c r="M15" s="24"/>
      <c r="N15" s="24"/>
      <c r="O15" s="24"/>
    </row>
    <row r="16" spans="1:15" ht="39.6" x14ac:dyDescent="0.3">
      <c r="A16" s="24">
        <v>10</v>
      </c>
      <c r="B16" s="24" t="s">
        <v>136</v>
      </c>
      <c r="C16" s="24" t="s">
        <v>138</v>
      </c>
      <c r="D16" s="24"/>
      <c r="E16" s="24" t="s">
        <v>51</v>
      </c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ht="39.6" x14ac:dyDescent="0.3">
      <c r="A17" s="24">
        <v>11</v>
      </c>
      <c r="B17" s="24" t="s">
        <v>136</v>
      </c>
      <c r="C17" s="24" t="s">
        <v>139</v>
      </c>
      <c r="D17" s="24"/>
      <c r="E17" s="24" t="s">
        <v>51</v>
      </c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ht="39.6" x14ac:dyDescent="0.3">
      <c r="A18" s="24">
        <v>12</v>
      </c>
      <c r="B18" s="24" t="s">
        <v>136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ht="39.6" x14ac:dyDescent="0.3">
      <c r="A19" s="24">
        <v>13</v>
      </c>
      <c r="B19" s="24" t="s">
        <v>136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ht="39.6" x14ac:dyDescent="0.3">
      <c r="A20" s="24">
        <v>14</v>
      </c>
      <c r="B20" s="24" t="s">
        <v>136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ht="39.6" x14ac:dyDescent="0.3">
      <c r="A21" s="24">
        <v>15</v>
      </c>
      <c r="B21" s="24" t="s">
        <v>136</v>
      </c>
      <c r="C21" s="24"/>
      <c r="D21" s="24"/>
      <c r="E21" s="24"/>
      <c r="F21" s="22"/>
      <c r="G21" s="25"/>
      <c r="H21" s="24" t="str">
        <f t="shared" si="2"/>
        <v/>
      </c>
      <c r="I21" s="26"/>
      <c r="J21" s="27" t="str">
        <f t="shared" si="3"/>
        <v/>
      </c>
      <c r="K21" s="27" t="str">
        <f>IFERROR(J21*Продукт!B7,"")</f>
        <v/>
      </c>
      <c r="L21" s="24"/>
      <c r="M21" s="24"/>
      <c r="N21" s="24"/>
      <c r="O21" s="24"/>
    </row>
    <row r="22" spans="1:15" ht="39.6" x14ac:dyDescent="0.3">
      <c r="A22" s="24">
        <v>16</v>
      </c>
      <c r="B22" s="24" t="s">
        <v>136</v>
      </c>
      <c r="C22" s="24"/>
      <c r="D22" s="24"/>
      <c r="E22" s="24"/>
      <c r="F22" s="22"/>
      <c r="G22" s="25"/>
      <c r="H22" s="24" t="str">
        <f t="shared" si="2"/>
        <v/>
      </c>
      <c r="I22" s="26"/>
      <c r="J22" s="27" t="str">
        <f t="shared" si="3"/>
        <v/>
      </c>
      <c r="K22" s="27" t="str">
        <f>IFERROR(J22*Продукт!B7,"")</f>
        <v/>
      </c>
      <c r="L22" s="24"/>
      <c r="M22" s="24"/>
      <c r="N22" s="24"/>
      <c r="O22" s="24"/>
    </row>
    <row r="23" spans="1:15" x14ac:dyDescent="0.3">
      <c r="A23" s="4" t="s">
        <v>140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39.6" x14ac:dyDescent="0.3">
      <c r="A24" s="24">
        <v>17</v>
      </c>
      <c r="B24" s="24" t="s">
        <v>140</v>
      </c>
      <c r="C24" s="24" t="s">
        <v>141</v>
      </c>
      <c r="D24" s="24"/>
      <c r="E24" s="24" t="s">
        <v>51</v>
      </c>
      <c r="F24" s="22"/>
      <c r="G24" s="25"/>
      <c r="H24" s="24" t="str">
        <f t="shared" ref="H24:H30" si="4">IF(F24="","",F24*(1+IFERROR(G24,0)))</f>
        <v/>
      </c>
      <c r="I24" s="26"/>
      <c r="J24" s="27" t="str">
        <f t="shared" ref="J24:J30" si="5">IFERROR(H24*I24,"")</f>
        <v/>
      </c>
      <c r="K24" s="27" t="str">
        <f>IFERROR(J24*Продукт!B7,"")</f>
        <v/>
      </c>
      <c r="L24" s="24"/>
      <c r="M24" s="24"/>
      <c r="N24" s="24"/>
      <c r="O24" s="24"/>
    </row>
    <row r="25" spans="1:15" ht="39.6" x14ac:dyDescent="0.3">
      <c r="A25" s="24">
        <v>18</v>
      </c>
      <c r="B25" s="24" t="s">
        <v>140</v>
      </c>
      <c r="C25" s="24" t="s">
        <v>142</v>
      </c>
      <c r="D25" s="24"/>
      <c r="E25" s="24" t="s">
        <v>51</v>
      </c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ht="39.6" x14ac:dyDescent="0.3">
      <c r="A26" s="24">
        <v>19</v>
      </c>
      <c r="B26" s="24" t="s">
        <v>140</v>
      </c>
      <c r="C26" s="24"/>
      <c r="D26" s="24"/>
      <c r="E26" s="24"/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ht="39.6" x14ac:dyDescent="0.3">
      <c r="A27" s="24">
        <v>20</v>
      </c>
      <c r="B27" s="24" t="s">
        <v>140</v>
      </c>
      <c r="C27" s="24"/>
      <c r="D27" s="24"/>
      <c r="E27" s="24"/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ht="39.6" x14ac:dyDescent="0.3">
      <c r="A28" s="24">
        <v>21</v>
      </c>
      <c r="B28" s="24" t="s">
        <v>140</v>
      </c>
      <c r="C28" s="24"/>
      <c r="D28" s="24"/>
      <c r="E28" s="24"/>
      <c r="F28" s="22"/>
      <c r="G28" s="25"/>
      <c r="H28" s="24" t="str">
        <f t="shared" si="4"/>
        <v/>
      </c>
      <c r="I28" s="26"/>
      <c r="J28" s="27" t="str">
        <f t="shared" si="5"/>
        <v/>
      </c>
      <c r="K28" s="27" t="str">
        <f>IFERROR(J28*Продукт!B7,"")</f>
        <v/>
      </c>
      <c r="L28" s="24"/>
      <c r="M28" s="24"/>
      <c r="N28" s="24"/>
      <c r="O28" s="24"/>
    </row>
    <row r="29" spans="1:15" ht="39.6" x14ac:dyDescent="0.3">
      <c r="A29" s="24">
        <v>22</v>
      </c>
      <c r="B29" s="24" t="s">
        <v>140</v>
      </c>
      <c r="C29" s="24"/>
      <c r="D29" s="24"/>
      <c r="E29" s="24"/>
      <c r="F29" s="22"/>
      <c r="G29" s="25"/>
      <c r="H29" s="24" t="str">
        <f t="shared" si="4"/>
        <v/>
      </c>
      <c r="I29" s="26"/>
      <c r="J29" s="27" t="str">
        <f t="shared" si="5"/>
        <v/>
      </c>
      <c r="K29" s="27" t="str">
        <f>IFERROR(J29*Продукт!B7,"")</f>
        <v/>
      </c>
      <c r="L29" s="24"/>
      <c r="M29" s="24"/>
      <c r="N29" s="24"/>
      <c r="O29" s="24"/>
    </row>
    <row r="30" spans="1:15" ht="39.6" x14ac:dyDescent="0.3">
      <c r="A30" s="24">
        <v>23</v>
      </c>
      <c r="B30" s="24" t="s">
        <v>140</v>
      </c>
      <c r="C30" s="24"/>
      <c r="D30" s="24"/>
      <c r="E30" s="24"/>
      <c r="F30" s="22"/>
      <c r="G30" s="25"/>
      <c r="H30" s="24" t="str">
        <f t="shared" si="4"/>
        <v/>
      </c>
      <c r="I30" s="26"/>
      <c r="J30" s="27" t="str">
        <f t="shared" si="5"/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3" t="s">
        <v>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">
      <c r="A32" s="24">
        <v>24</v>
      </c>
      <c r="B32" s="24"/>
      <c r="C32" s="24"/>
      <c r="D32" s="24"/>
      <c r="E32" s="24"/>
      <c r="F32" s="22"/>
      <c r="G32" s="25"/>
      <c r="H32" s="24" t="str">
        <f>IF(F32="","",F32*(1+IFERROR(G32,0)))</f>
        <v/>
      </c>
      <c r="I32" s="26"/>
      <c r="J32" s="27" t="str">
        <f>IFERROR(H32*I32,"")</f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24">
        <v>25</v>
      </c>
      <c r="B33" s="24"/>
      <c r="C33" s="24"/>
      <c r="D33" s="24"/>
      <c r="E33" s="24"/>
      <c r="F33" s="22"/>
      <c r="G33" s="25"/>
      <c r="H33" s="24" t="str">
        <f>IF(F33="","",F33*(1+IFERROR(G33,0)))</f>
        <v/>
      </c>
      <c r="I33" s="26"/>
      <c r="J33" s="27" t="str">
        <f>IFERROR(H33*I33,"")</f>
        <v/>
      </c>
      <c r="K33" s="27" t="str">
        <f>IFERROR(J33*Продукт!B7,"")</f>
        <v/>
      </c>
      <c r="L33" s="24"/>
      <c r="M33" s="24"/>
      <c r="N33" s="24"/>
      <c r="O33" s="24"/>
    </row>
    <row r="34" spans="1:15" x14ac:dyDescent="0.3">
      <c r="A34" s="24">
        <v>26</v>
      </c>
      <c r="B34" s="24"/>
      <c r="C34" s="24"/>
      <c r="D34" s="24"/>
      <c r="E34" s="24"/>
      <c r="F34" s="22"/>
      <c r="G34" s="25"/>
      <c r="H34" s="24" t="str">
        <f>IF(F34="","",F34*(1+IFERROR(G34,0)))</f>
        <v/>
      </c>
      <c r="I34" s="26"/>
      <c r="J34" s="27" t="str">
        <f>IFERROR(H34*I34,"")</f>
        <v/>
      </c>
      <c r="K34" s="27" t="str">
        <f>IFERROR(J34*Продукт!B7,"")</f>
        <v/>
      </c>
      <c r="L34" s="24"/>
      <c r="M34" s="24"/>
      <c r="N34" s="24"/>
      <c r="O34" s="24"/>
    </row>
    <row r="35" spans="1:15" x14ac:dyDescent="0.3">
      <c r="A35" s="24">
        <v>27</v>
      </c>
      <c r="B35" s="24"/>
      <c r="C35" s="24"/>
      <c r="D35" s="24"/>
      <c r="E35" s="24"/>
      <c r="F35" s="22"/>
      <c r="G35" s="25"/>
      <c r="H35" s="24" t="str">
        <f>IF(F35="","",F35*(1+IFERROR(G35,0)))</f>
        <v/>
      </c>
      <c r="I35" s="26"/>
      <c r="J35" s="27" t="str">
        <f>IFERROR(H35*I35,"")</f>
        <v/>
      </c>
      <c r="K35" s="27" t="str">
        <f>IFERROR(J35*Продукт!B7,"")</f>
        <v/>
      </c>
      <c r="L35" s="24"/>
      <c r="M35" s="24"/>
      <c r="N35" s="24"/>
      <c r="O35" s="24"/>
    </row>
    <row r="36" spans="1:15" x14ac:dyDescent="0.3">
      <c r="A36" s="24">
        <v>28</v>
      </c>
      <c r="B36" s="24"/>
      <c r="C36" s="24"/>
      <c r="D36" s="24"/>
      <c r="E36" s="24"/>
      <c r="F36" s="22"/>
      <c r="G36" s="25"/>
      <c r="H36" s="24" t="str">
        <f>IF(F36="","",F36*(1+IFERROR(G36,0)))</f>
        <v/>
      </c>
      <c r="I36" s="26"/>
      <c r="J36" s="27" t="str">
        <f>IFERROR(H36*I36,"")</f>
        <v/>
      </c>
      <c r="K36" s="27" t="str">
        <f>IFERROR(J36*Продукт!B7,"")</f>
        <v/>
      </c>
      <c r="L36" s="24"/>
      <c r="M36" s="24"/>
      <c r="N36" s="24"/>
      <c r="O36" s="24"/>
    </row>
    <row r="38" spans="1:15" x14ac:dyDescent="0.3">
      <c r="A38" s="2" t="s">
        <v>90</v>
      </c>
      <c r="B38" s="2"/>
      <c r="C38" s="2"/>
      <c r="D38" s="2"/>
      <c r="E38" s="2"/>
      <c r="F38" s="2"/>
      <c r="G38" s="2"/>
      <c r="H38" s="2"/>
      <c r="I38" s="2"/>
      <c r="J38" s="28">
        <f>SUMIF(J5:J36,"&gt;0")</f>
        <v>0</v>
      </c>
      <c r="K38" s="28">
        <f>SUMIF(K5:K36,"&gt;0")</f>
        <v>0</v>
      </c>
      <c r="L38" s="29"/>
      <c r="M38" s="29"/>
      <c r="N38" s="29"/>
      <c r="O38" s="29"/>
    </row>
  </sheetData>
  <mergeCells count="7">
    <mergeCell ref="A31:O31"/>
    <mergeCell ref="A38:I38"/>
    <mergeCell ref="A1:O1"/>
    <mergeCell ref="A2:O2"/>
    <mergeCell ref="A5:O5"/>
    <mergeCell ref="A14:O14"/>
    <mergeCell ref="A23:O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143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">
      <c r="A6" s="24">
        <v>1</v>
      </c>
      <c r="B6" s="24" t="s">
        <v>144</v>
      </c>
      <c r="C6" s="24" t="s">
        <v>145</v>
      </c>
      <c r="D6" s="24"/>
      <c r="E6" s="24" t="s">
        <v>51</v>
      </c>
      <c r="F6" s="22"/>
      <c r="G6" s="25"/>
      <c r="H6" s="24" t="str">
        <f t="shared" ref="H6:H14" si="0">IF(F6="","",F6*(1+IFERROR(G6,0)))</f>
        <v/>
      </c>
      <c r="I6" s="26"/>
      <c r="J6" s="27" t="str">
        <f t="shared" ref="J6:J14" si="1">IFERROR(H6*I6,"")</f>
        <v/>
      </c>
      <c r="K6" s="27" t="str">
        <f>IFERROR(J6*Продукт!B7,"")</f>
        <v/>
      </c>
      <c r="L6" s="24"/>
      <c r="M6" s="24"/>
      <c r="N6" s="24"/>
      <c r="O6" s="24"/>
    </row>
    <row r="7" spans="1:15" x14ac:dyDescent="0.3">
      <c r="A7" s="24">
        <v>2</v>
      </c>
      <c r="B7" s="24" t="s">
        <v>144</v>
      </c>
      <c r="C7" s="24" t="s">
        <v>146</v>
      </c>
      <c r="D7" s="24"/>
      <c r="E7" s="24" t="s">
        <v>51</v>
      </c>
      <c r="F7" s="22"/>
      <c r="G7" s="25"/>
      <c r="H7" s="24" t="str">
        <f t="shared" si="0"/>
        <v/>
      </c>
      <c r="I7" s="26"/>
      <c r="J7" s="27" t="str">
        <f t="shared" si="1"/>
        <v/>
      </c>
      <c r="K7" s="27" t="str">
        <f>IFERROR(J7*Продукт!B7,"")</f>
        <v/>
      </c>
      <c r="L7" s="24"/>
      <c r="M7" s="24"/>
      <c r="N7" s="24"/>
      <c r="O7" s="24"/>
    </row>
    <row r="8" spans="1:15" x14ac:dyDescent="0.3">
      <c r="A8" s="24">
        <v>3</v>
      </c>
      <c r="B8" s="24" t="s">
        <v>144</v>
      </c>
      <c r="C8" s="24" t="s">
        <v>147</v>
      </c>
      <c r="D8" s="24"/>
      <c r="E8" s="24" t="s">
        <v>51</v>
      </c>
      <c r="F8" s="22"/>
      <c r="G8" s="25"/>
      <c r="H8" s="24" t="str">
        <f t="shared" si="0"/>
        <v/>
      </c>
      <c r="I8" s="26"/>
      <c r="J8" s="27" t="str">
        <f t="shared" si="1"/>
        <v/>
      </c>
      <c r="K8" s="27" t="str">
        <f>IFERROR(J8*Продукт!B7,"")</f>
        <v/>
      </c>
      <c r="L8" s="24"/>
      <c r="M8" s="24"/>
      <c r="N8" s="24"/>
      <c r="O8" s="24"/>
    </row>
    <row r="9" spans="1:15" x14ac:dyDescent="0.3">
      <c r="A9" s="24">
        <v>4</v>
      </c>
      <c r="B9" s="24" t="s">
        <v>144</v>
      </c>
      <c r="C9" s="24" t="s">
        <v>148</v>
      </c>
      <c r="D9" s="24"/>
      <c r="E9" s="24" t="s">
        <v>51</v>
      </c>
      <c r="F9" s="22"/>
      <c r="G9" s="25"/>
      <c r="H9" s="24" t="str">
        <f t="shared" si="0"/>
        <v/>
      </c>
      <c r="I9" s="26"/>
      <c r="J9" s="27" t="str">
        <f t="shared" si="1"/>
        <v/>
      </c>
      <c r="K9" s="27" t="str">
        <f>IFERROR(J9*Продукт!B7,"")</f>
        <v/>
      </c>
      <c r="L9" s="24"/>
      <c r="M9" s="24"/>
      <c r="N9" s="24"/>
      <c r="O9" s="24"/>
    </row>
    <row r="10" spans="1:15" x14ac:dyDescent="0.3">
      <c r="A10" s="24">
        <v>5</v>
      </c>
      <c r="B10" s="24" t="s">
        <v>144</v>
      </c>
      <c r="C10" s="24"/>
      <c r="D10" s="24"/>
      <c r="E10" s="24"/>
      <c r="F10" s="22"/>
      <c r="G10" s="25"/>
      <c r="H10" s="24" t="str">
        <f t="shared" si="0"/>
        <v/>
      </c>
      <c r="I10" s="26"/>
      <c r="J10" s="27" t="str">
        <f t="shared" si="1"/>
        <v/>
      </c>
      <c r="K10" s="27" t="str">
        <f>IFERROR(J10*Продукт!B7,"")</f>
        <v/>
      </c>
      <c r="L10" s="24"/>
      <c r="M10" s="24"/>
      <c r="N10" s="24"/>
      <c r="O10" s="24"/>
    </row>
    <row r="11" spans="1:15" x14ac:dyDescent="0.3">
      <c r="A11" s="24">
        <v>6</v>
      </c>
      <c r="B11" s="24" t="s">
        <v>144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x14ac:dyDescent="0.3">
      <c r="A12" s="24">
        <v>7</v>
      </c>
      <c r="B12" s="24" t="s">
        <v>144</v>
      </c>
      <c r="C12" s="24"/>
      <c r="D12" s="24"/>
      <c r="E12" s="24"/>
      <c r="F12" s="22"/>
      <c r="G12" s="25"/>
      <c r="H12" s="24" t="str">
        <f t="shared" si="0"/>
        <v/>
      </c>
      <c r="I12" s="26"/>
      <c r="J12" s="27" t="str">
        <f t="shared" si="1"/>
        <v/>
      </c>
      <c r="K12" s="27" t="str">
        <f>IFERROR(J12*Продукт!B7,"")</f>
        <v/>
      </c>
      <c r="L12" s="24"/>
      <c r="M12" s="24"/>
      <c r="N12" s="24"/>
      <c r="O12" s="24"/>
    </row>
    <row r="13" spans="1:15" x14ac:dyDescent="0.3">
      <c r="A13" s="24">
        <v>8</v>
      </c>
      <c r="B13" s="24" t="s">
        <v>144</v>
      </c>
      <c r="C13" s="24"/>
      <c r="D13" s="24"/>
      <c r="E13" s="24"/>
      <c r="F13" s="22"/>
      <c r="G13" s="25"/>
      <c r="H13" s="24" t="str">
        <f t="shared" si="0"/>
        <v/>
      </c>
      <c r="I13" s="26"/>
      <c r="J13" s="27" t="str">
        <f t="shared" si="1"/>
        <v/>
      </c>
      <c r="K13" s="27" t="str">
        <f>IFERROR(J13*Продукт!B7,"")</f>
        <v/>
      </c>
      <c r="L13" s="24"/>
      <c r="M13" s="24"/>
      <c r="N13" s="24"/>
      <c r="O13" s="24"/>
    </row>
    <row r="14" spans="1:15" x14ac:dyDescent="0.3">
      <c r="A14" s="24">
        <v>9</v>
      </c>
      <c r="B14" s="24" t="s">
        <v>144</v>
      </c>
      <c r="C14" s="24"/>
      <c r="D14" s="24"/>
      <c r="E14" s="24"/>
      <c r="F14" s="22"/>
      <c r="G14" s="25"/>
      <c r="H14" s="24" t="str">
        <f t="shared" si="0"/>
        <v/>
      </c>
      <c r="I14" s="26"/>
      <c r="J14" s="27" t="str">
        <f t="shared" si="1"/>
        <v/>
      </c>
      <c r="K14" s="27" t="str">
        <f>IFERROR(J14*Продукт!B7,"")</f>
        <v/>
      </c>
      <c r="L14" s="24"/>
      <c r="M14" s="24"/>
      <c r="N14" s="24"/>
      <c r="O14" s="24"/>
    </row>
    <row r="15" spans="1:15" x14ac:dyDescent="0.3">
      <c r="A15" s="4" t="s">
        <v>149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26.4" x14ac:dyDescent="0.3">
      <c r="A16" s="24">
        <v>10</v>
      </c>
      <c r="B16" s="24" t="s">
        <v>149</v>
      </c>
      <c r="C16" s="24" t="s">
        <v>150</v>
      </c>
      <c r="D16" s="24"/>
      <c r="E16" s="24" t="s">
        <v>51</v>
      </c>
      <c r="F16" s="22"/>
      <c r="G16" s="25"/>
      <c r="H16" s="24" t="str">
        <f t="shared" ref="H16:H23" si="2">IF(F16="","",F16*(1+IFERROR(G16,0)))</f>
        <v/>
      </c>
      <c r="I16" s="26"/>
      <c r="J16" s="27" t="str">
        <f t="shared" ref="J16:J23" si="3">IFERROR(H16*I16,"")</f>
        <v/>
      </c>
      <c r="K16" s="27" t="str">
        <f>IFERROR(J16*Продукт!B7,"")</f>
        <v/>
      </c>
      <c r="L16" s="24"/>
      <c r="M16" s="24"/>
      <c r="N16" s="24"/>
      <c r="O16" s="24"/>
    </row>
    <row r="17" spans="1:15" ht="26.4" x14ac:dyDescent="0.3">
      <c r="A17" s="24">
        <v>11</v>
      </c>
      <c r="B17" s="24" t="s">
        <v>149</v>
      </c>
      <c r="C17" s="24" t="s">
        <v>151</v>
      </c>
      <c r="D17" s="24"/>
      <c r="E17" s="24" t="s">
        <v>51</v>
      </c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ht="26.4" x14ac:dyDescent="0.3">
      <c r="A18" s="24">
        <v>12</v>
      </c>
      <c r="B18" s="24" t="s">
        <v>149</v>
      </c>
      <c r="C18" s="24" t="s">
        <v>152</v>
      </c>
      <c r="D18" s="24"/>
      <c r="E18" s="24" t="s">
        <v>51</v>
      </c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ht="26.4" x14ac:dyDescent="0.3">
      <c r="A19" s="24">
        <v>13</v>
      </c>
      <c r="B19" s="24" t="s">
        <v>149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ht="26.4" x14ac:dyDescent="0.3">
      <c r="A20" s="24">
        <v>14</v>
      </c>
      <c r="B20" s="24" t="s">
        <v>149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ht="26.4" x14ac:dyDescent="0.3">
      <c r="A21" s="24">
        <v>15</v>
      </c>
      <c r="B21" s="24" t="s">
        <v>149</v>
      </c>
      <c r="C21" s="24"/>
      <c r="D21" s="24"/>
      <c r="E21" s="24"/>
      <c r="F21" s="22"/>
      <c r="G21" s="25"/>
      <c r="H21" s="24" t="str">
        <f t="shared" si="2"/>
        <v/>
      </c>
      <c r="I21" s="26"/>
      <c r="J21" s="27" t="str">
        <f t="shared" si="3"/>
        <v/>
      </c>
      <c r="K21" s="27" t="str">
        <f>IFERROR(J21*Продукт!B7,"")</f>
        <v/>
      </c>
      <c r="L21" s="24"/>
      <c r="M21" s="24"/>
      <c r="N21" s="24"/>
      <c r="O21" s="24"/>
    </row>
    <row r="22" spans="1:15" ht="26.4" x14ac:dyDescent="0.3">
      <c r="A22" s="24">
        <v>16</v>
      </c>
      <c r="B22" s="24" t="s">
        <v>149</v>
      </c>
      <c r="C22" s="24"/>
      <c r="D22" s="24"/>
      <c r="E22" s="24"/>
      <c r="F22" s="22"/>
      <c r="G22" s="25"/>
      <c r="H22" s="24" t="str">
        <f t="shared" si="2"/>
        <v/>
      </c>
      <c r="I22" s="26"/>
      <c r="J22" s="27" t="str">
        <f t="shared" si="3"/>
        <v/>
      </c>
      <c r="K22" s="27" t="str">
        <f>IFERROR(J22*Продукт!B7,"")</f>
        <v/>
      </c>
      <c r="L22" s="24"/>
      <c r="M22" s="24"/>
      <c r="N22" s="24"/>
      <c r="O22" s="24"/>
    </row>
    <row r="23" spans="1:15" ht="26.4" x14ac:dyDescent="0.3">
      <c r="A23" s="24">
        <v>17</v>
      </c>
      <c r="B23" s="24" t="s">
        <v>149</v>
      </c>
      <c r="C23" s="24"/>
      <c r="D23" s="24"/>
      <c r="E23" s="24"/>
      <c r="F23" s="22"/>
      <c r="G23" s="25"/>
      <c r="H23" s="24" t="str">
        <f t="shared" si="2"/>
        <v/>
      </c>
      <c r="I23" s="26"/>
      <c r="J23" s="27" t="str">
        <f t="shared" si="3"/>
        <v/>
      </c>
      <c r="K23" s="27" t="str">
        <f>IFERROR(J23*Продукт!B7,"")</f>
        <v/>
      </c>
      <c r="L23" s="24"/>
      <c r="M23" s="24"/>
      <c r="N23" s="24"/>
      <c r="O23" s="24"/>
    </row>
    <row r="24" spans="1:15" x14ac:dyDescent="0.3">
      <c r="A24" s="4" t="s">
        <v>153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26.4" x14ac:dyDescent="0.3">
      <c r="A25" s="24">
        <v>18</v>
      </c>
      <c r="B25" s="24" t="s">
        <v>153</v>
      </c>
      <c r="C25" s="24" t="s">
        <v>154</v>
      </c>
      <c r="D25" s="24"/>
      <c r="E25" s="24" t="s">
        <v>51</v>
      </c>
      <c r="F25" s="22"/>
      <c r="G25" s="25"/>
      <c r="H25" s="24" t="str">
        <f t="shared" ref="H25:H31" si="4">IF(F25="","",F25*(1+IFERROR(G25,0)))</f>
        <v/>
      </c>
      <c r="I25" s="26"/>
      <c r="J25" s="27" t="str">
        <f t="shared" ref="J25:J31" si="5">IFERROR(H25*I25,"")</f>
        <v/>
      </c>
      <c r="K25" s="27" t="str">
        <f>IFERROR(J25*Продукт!B7,"")</f>
        <v/>
      </c>
      <c r="L25" s="24"/>
      <c r="M25" s="24"/>
      <c r="N25" s="24"/>
      <c r="O25" s="24"/>
    </row>
    <row r="26" spans="1:15" ht="26.4" x14ac:dyDescent="0.3">
      <c r="A26" s="24">
        <v>19</v>
      </c>
      <c r="B26" s="24" t="s">
        <v>153</v>
      </c>
      <c r="C26" s="24" t="s">
        <v>155</v>
      </c>
      <c r="D26" s="24"/>
      <c r="E26" s="24" t="s">
        <v>51</v>
      </c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ht="26.4" x14ac:dyDescent="0.3">
      <c r="A27" s="24">
        <v>20</v>
      </c>
      <c r="B27" s="24" t="s">
        <v>153</v>
      </c>
      <c r="C27" s="24"/>
      <c r="D27" s="24"/>
      <c r="E27" s="24"/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ht="26.4" x14ac:dyDescent="0.3">
      <c r="A28" s="24">
        <v>21</v>
      </c>
      <c r="B28" s="24" t="s">
        <v>153</v>
      </c>
      <c r="C28" s="24"/>
      <c r="D28" s="24"/>
      <c r="E28" s="24"/>
      <c r="F28" s="22"/>
      <c r="G28" s="25"/>
      <c r="H28" s="24" t="str">
        <f t="shared" si="4"/>
        <v/>
      </c>
      <c r="I28" s="26"/>
      <c r="J28" s="27" t="str">
        <f t="shared" si="5"/>
        <v/>
      </c>
      <c r="K28" s="27" t="str">
        <f>IFERROR(J28*Продукт!B7,"")</f>
        <v/>
      </c>
      <c r="L28" s="24"/>
      <c r="M28" s="24"/>
      <c r="N28" s="24"/>
      <c r="O28" s="24"/>
    </row>
    <row r="29" spans="1:15" ht="26.4" x14ac:dyDescent="0.3">
      <c r="A29" s="24">
        <v>22</v>
      </c>
      <c r="B29" s="24" t="s">
        <v>153</v>
      </c>
      <c r="C29" s="24"/>
      <c r="D29" s="24"/>
      <c r="E29" s="24"/>
      <c r="F29" s="22"/>
      <c r="G29" s="25"/>
      <c r="H29" s="24" t="str">
        <f t="shared" si="4"/>
        <v/>
      </c>
      <c r="I29" s="26"/>
      <c r="J29" s="27" t="str">
        <f t="shared" si="5"/>
        <v/>
      </c>
      <c r="K29" s="27" t="str">
        <f>IFERROR(J29*Продукт!B7,"")</f>
        <v/>
      </c>
      <c r="L29" s="24"/>
      <c r="M29" s="24"/>
      <c r="N29" s="24"/>
      <c r="O29" s="24"/>
    </row>
    <row r="30" spans="1:15" ht="26.4" x14ac:dyDescent="0.3">
      <c r="A30" s="24">
        <v>23</v>
      </c>
      <c r="B30" s="24" t="s">
        <v>153</v>
      </c>
      <c r="C30" s="24"/>
      <c r="D30" s="24"/>
      <c r="E30" s="24"/>
      <c r="F30" s="22"/>
      <c r="G30" s="25"/>
      <c r="H30" s="24" t="str">
        <f t="shared" si="4"/>
        <v/>
      </c>
      <c r="I30" s="26"/>
      <c r="J30" s="27" t="str">
        <f t="shared" si="5"/>
        <v/>
      </c>
      <c r="K30" s="27" t="str">
        <f>IFERROR(J30*Продукт!B7,"")</f>
        <v/>
      </c>
      <c r="L30" s="24"/>
      <c r="M30" s="24"/>
      <c r="N30" s="24"/>
      <c r="O30" s="24"/>
    </row>
    <row r="31" spans="1:15" ht="26.4" x14ac:dyDescent="0.3">
      <c r="A31" s="24">
        <v>24</v>
      </c>
      <c r="B31" s="24" t="s">
        <v>153</v>
      </c>
      <c r="C31" s="24"/>
      <c r="D31" s="24"/>
      <c r="E31" s="24"/>
      <c r="F31" s="22"/>
      <c r="G31" s="25"/>
      <c r="H31" s="24" t="str">
        <f t="shared" si="4"/>
        <v/>
      </c>
      <c r="I31" s="26"/>
      <c r="J31" s="27" t="str">
        <f t="shared" si="5"/>
        <v/>
      </c>
      <c r="K31" s="27" t="str">
        <f>IFERROR(J31*Продукт!B7,"")</f>
        <v/>
      </c>
      <c r="L31" s="24"/>
      <c r="M31" s="24"/>
      <c r="N31" s="24"/>
      <c r="O31" s="24"/>
    </row>
    <row r="32" spans="1:15" x14ac:dyDescent="0.3">
      <c r="A32" s="3" t="s">
        <v>89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3">
      <c r="A33" s="24">
        <v>25</v>
      </c>
      <c r="B33" s="24"/>
      <c r="C33" s="24"/>
      <c r="D33" s="24"/>
      <c r="E33" s="24"/>
      <c r="F33" s="22"/>
      <c r="G33" s="25"/>
      <c r="H33" s="24" t="str">
        <f>IF(F33="","",F33*(1+IFERROR(G33,0)))</f>
        <v/>
      </c>
      <c r="I33" s="26"/>
      <c r="J33" s="27" t="str">
        <f>IFERROR(H33*I33,"")</f>
        <v/>
      </c>
      <c r="K33" s="27" t="str">
        <f>IFERROR(J33*Продукт!B7,"")</f>
        <v/>
      </c>
      <c r="L33" s="24"/>
      <c r="M33" s="24"/>
      <c r="N33" s="24"/>
      <c r="O33" s="24"/>
    </row>
    <row r="34" spans="1:15" x14ac:dyDescent="0.3">
      <c r="A34" s="24">
        <v>26</v>
      </c>
      <c r="B34" s="24"/>
      <c r="C34" s="24"/>
      <c r="D34" s="24"/>
      <c r="E34" s="24"/>
      <c r="F34" s="22"/>
      <c r="G34" s="25"/>
      <c r="H34" s="24" t="str">
        <f>IF(F34="","",F34*(1+IFERROR(G34,0)))</f>
        <v/>
      </c>
      <c r="I34" s="26"/>
      <c r="J34" s="27" t="str">
        <f>IFERROR(H34*I34,"")</f>
        <v/>
      </c>
      <c r="K34" s="27" t="str">
        <f>IFERROR(J34*Продукт!B7,"")</f>
        <v/>
      </c>
      <c r="L34" s="24"/>
      <c r="M34" s="24"/>
      <c r="N34" s="24"/>
      <c r="O34" s="24"/>
    </row>
    <row r="35" spans="1:15" x14ac:dyDescent="0.3">
      <c r="A35" s="24">
        <v>27</v>
      </c>
      <c r="B35" s="24"/>
      <c r="C35" s="24"/>
      <c r="D35" s="24"/>
      <c r="E35" s="24"/>
      <c r="F35" s="22"/>
      <c r="G35" s="25"/>
      <c r="H35" s="24" t="str">
        <f>IF(F35="","",F35*(1+IFERROR(G35,0)))</f>
        <v/>
      </c>
      <c r="I35" s="26"/>
      <c r="J35" s="27" t="str">
        <f>IFERROR(H35*I35,"")</f>
        <v/>
      </c>
      <c r="K35" s="27" t="str">
        <f>IFERROR(J35*Продукт!B7,"")</f>
        <v/>
      </c>
      <c r="L35" s="24"/>
      <c r="M35" s="24"/>
      <c r="N35" s="24"/>
      <c r="O35" s="24"/>
    </row>
    <row r="36" spans="1:15" x14ac:dyDescent="0.3">
      <c r="A36" s="24">
        <v>28</v>
      </c>
      <c r="B36" s="24"/>
      <c r="C36" s="24"/>
      <c r="D36" s="24"/>
      <c r="E36" s="24"/>
      <c r="F36" s="22"/>
      <c r="G36" s="25"/>
      <c r="H36" s="24" t="str">
        <f>IF(F36="","",F36*(1+IFERROR(G36,0)))</f>
        <v/>
      </c>
      <c r="I36" s="26"/>
      <c r="J36" s="27" t="str">
        <f>IFERROR(H36*I36,"")</f>
        <v/>
      </c>
      <c r="K36" s="27" t="str">
        <f>IFERROR(J36*Продукт!B7,"")</f>
        <v/>
      </c>
      <c r="L36" s="24"/>
      <c r="M36" s="24"/>
      <c r="N36" s="24"/>
      <c r="O36" s="24"/>
    </row>
    <row r="37" spans="1:15" x14ac:dyDescent="0.3">
      <c r="A37" s="24">
        <v>29</v>
      </c>
      <c r="B37" s="24"/>
      <c r="C37" s="24"/>
      <c r="D37" s="24"/>
      <c r="E37" s="24"/>
      <c r="F37" s="22"/>
      <c r="G37" s="25"/>
      <c r="H37" s="24" t="str">
        <f>IF(F37="","",F37*(1+IFERROR(G37,0)))</f>
        <v/>
      </c>
      <c r="I37" s="26"/>
      <c r="J37" s="27" t="str">
        <f>IFERROR(H37*I37,"")</f>
        <v/>
      </c>
      <c r="K37" s="27" t="str">
        <f>IFERROR(J37*Продукт!B7,"")</f>
        <v/>
      </c>
      <c r="L37" s="24"/>
      <c r="M37" s="24"/>
      <c r="N37" s="24"/>
      <c r="O37" s="24"/>
    </row>
    <row r="39" spans="1:15" x14ac:dyDescent="0.3">
      <c r="A39" s="2" t="s">
        <v>90</v>
      </c>
      <c r="B39" s="2"/>
      <c r="C39" s="2"/>
      <c r="D39" s="2"/>
      <c r="E39" s="2"/>
      <c r="F39" s="2"/>
      <c r="G39" s="2"/>
      <c r="H39" s="2"/>
      <c r="I39" s="2"/>
      <c r="J39" s="28">
        <f>SUMIF(J5:J37,"&gt;0")</f>
        <v>0</v>
      </c>
      <c r="K39" s="28">
        <f>SUMIF(K5:K37,"&gt;0")</f>
        <v>0</v>
      </c>
      <c r="L39" s="29"/>
      <c r="M39" s="29"/>
      <c r="N39" s="29"/>
      <c r="O39" s="29"/>
    </row>
  </sheetData>
  <mergeCells count="7">
    <mergeCell ref="A32:O32"/>
    <mergeCell ref="A39:I39"/>
    <mergeCell ref="A1:O1"/>
    <mergeCell ref="A2:O2"/>
    <mergeCell ref="A5:O5"/>
    <mergeCell ref="A15:O15"/>
    <mergeCell ref="A24:O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156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157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">
      <c r="A6" s="24">
        <v>1</v>
      </c>
      <c r="B6" s="24" t="s">
        <v>157</v>
      </c>
      <c r="C6" s="24" t="s">
        <v>158</v>
      </c>
      <c r="D6" s="24"/>
      <c r="E6" s="24" t="s">
        <v>96</v>
      </c>
      <c r="F6" s="22"/>
      <c r="G6" s="25"/>
      <c r="H6" s="24" t="str">
        <f t="shared" ref="H6:H12" si="0">IF(F6="","",F6*(1+IFERROR(G6,0)))</f>
        <v/>
      </c>
      <c r="I6" s="26"/>
      <c r="J6" s="27" t="str">
        <f t="shared" ref="J6:J12" si="1">IFERROR(H6*I6,"")</f>
        <v/>
      </c>
      <c r="K6" s="27" t="str">
        <f>IFERROR(J6*Продукт!B7,"")</f>
        <v/>
      </c>
      <c r="L6" s="24"/>
      <c r="M6" s="24"/>
      <c r="N6" s="24"/>
      <c r="O6" s="24"/>
    </row>
    <row r="7" spans="1:15" x14ac:dyDescent="0.3">
      <c r="A7" s="24">
        <v>2</v>
      </c>
      <c r="B7" s="24" t="s">
        <v>157</v>
      </c>
      <c r="C7" s="24" t="s">
        <v>159</v>
      </c>
      <c r="D7" s="24"/>
      <c r="E7" s="24" t="s">
        <v>76</v>
      </c>
      <c r="F7" s="22"/>
      <c r="G7" s="25"/>
      <c r="H7" s="24" t="str">
        <f t="shared" si="0"/>
        <v/>
      </c>
      <c r="I7" s="26"/>
      <c r="J7" s="27" t="str">
        <f t="shared" si="1"/>
        <v/>
      </c>
      <c r="K7" s="27" t="str">
        <f>IFERROR(J7*Продукт!B7,"")</f>
        <v/>
      </c>
      <c r="L7" s="24"/>
      <c r="M7" s="24"/>
      <c r="N7" s="24"/>
      <c r="O7" s="24"/>
    </row>
    <row r="8" spans="1:15" x14ac:dyDescent="0.3">
      <c r="A8" s="24">
        <v>3</v>
      </c>
      <c r="B8" s="24" t="s">
        <v>157</v>
      </c>
      <c r="C8" s="24"/>
      <c r="D8" s="24"/>
      <c r="E8" s="24"/>
      <c r="F8" s="22"/>
      <c r="G8" s="25"/>
      <c r="H8" s="24" t="str">
        <f t="shared" si="0"/>
        <v/>
      </c>
      <c r="I8" s="26"/>
      <c r="J8" s="27" t="str">
        <f t="shared" si="1"/>
        <v/>
      </c>
      <c r="K8" s="27" t="str">
        <f>IFERROR(J8*Продукт!B7,"")</f>
        <v/>
      </c>
      <c r="L8" s="24"/>
      <c r="M8" s="24"/>
      <c r="N8" s="24"/>
      <c r="O8" s="24"/>
    </row>
    <row r="9" spans="1:15" x14ac:dyDescent="0.3">
      <c r="A9" s="24">
        <v>4</v>
      </c>
      <c r="B9" s="24" t="s">
        <v>157</v>
      </c>
      <c r="C9" s="24"/>
      <c r="D9" s="24"/>
      <c r="E9" s="24"/>
      <c r="F9" s="22"/>
      <c r="G9" s="25"/>
      <c r="H9" s="24" t="str">
        <f t="shared" si="0"/>
        <v/>
      </c>
      <c r="I9" s="26"/>
      <c r="J9" s="27" t="str">
        <f t="shared" si="1"/>
        <v/>
      </c>
      <c r="K9" s="27" t="str">
        <f>IFERROR(J9*Продукт!B7,"")</f>
        <v/>
      </c>
      <c r="L9" s="24"/>
      <c r="M9" s="24"/>
      <c r="N9" s="24"/>
      <c r="O9" s="24"/>
    </row>
    <row r="10" spans="1:15" x14ac:dyDescent="0.3">
      <c r="A10" s="24">
        <v>5</v>
      </c>
      <c r="B10" s="24" t="s">
        <v>157</v>
      </c>
      <c r="C10" s="24"/>
      <c r="D10" s="24"/>
      <c r="E10" s="24"/>
      <c r="F10" s="22"/>
      <c r="G10" s="25"/>
      <c r="H10" s="24" t="str">
        <f t="shared" si="0"/>
        <v/>
      </c>
      <c r="I10" s="26"/>
      <c r="J10" s="27" t="str">
        <f t="shared" si="1"/>
        <v/>
      </c>
      <c r="K10" s="27" t="str">
        <f>IFERROR(J10*Продукт!B7,"")</f>
        <v/>
      </c>
      <c r="L10" s="24"/>
      <c r="M10" s="24"/>
      <c r="N10" s="24"/>
      <c r="O10" s="24"/>
    </row>
    <row r="11" spans="1:15" x14ac:dyDescent="0.3">
      <c r="A11" s="24">
        <v>6</v>
      </c>
      <c r="B11" s="24" t="s">
        <v>157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x14ac:dyDescent="0.3">
      <c r="A12" s="24">
        <v>7</v>
      </c>
      <c r="B12" s="24" t="s">
        <v>157</v>
      </c>
      <c r="C12" s="24"/>
      <c r="D12" s="24"/>
      <c r="E12" s="24"/>
      <c r="F12" s="22"/>
      <c r="G12" s="25"/>
      <c r="H12" s="24" t="str">
        <f t="shared" si="0"/>
        <v/>
      </c>
      <c r="I12" s="26"/>
      <c r="J12" s="27" t="str">
        <f t="shared" si="1"/>
        <v/>
      </c>
      <c r="K12" s="27" t="str">
        <f>IFERROR(J12*Продукт!B7,"")</f>
        <v/>
      </c>
      <c r="L12" s="24"/>
      <c r="M12" s="24"/>
      <c r="N12" s="24"/>
      <c r="O12" s="24"/>
    </row>
    <row r="13" spans="1:15" x14ac:dyDescent="0.3">
      <c r="A13" s="4" t="s">
        <v>160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6.4" x14ac:dyDescent="0.3">
      <c r="A14" s="24">
        <v>8</v>
      </c>
      <c r="B14" s="24" t="s">
        <v>160</v>
      </c>
      <c r="C14" s="24" t="s">
        <v>161</v>
      </c>
      <c r="D14" s="24"/>
      <c r="E14" s="24" t="s">
        <v>96</v>
      </c>
      <c r="F14" s="22"/>
      <c r="G14" s="25"/>
      <c r="H14" s="24" t="str">
        <f t="shared" ref="H14:H21" si="2">IF(F14="","",F14*(1+IFERROR(G14,0)))</f>
        <v/>
      </c>
      <c r="I14" s="26"/>
      <c r="J14" s="27" t="str">
        <f t="shared" ref="J14:J21" si="3">IFERROR(H14*I14,"")</f>
        <v/>
      </c>
      <c r="K14" s="27" t="str">
        <f>IFERROR(J14*Продукт!B7,"")</f>
        <v/>
      </c>
      <c r="L14" s="24"/>
      <c r="M14" s="24"/>
      <c r="N14" s="24"/>
      <c r="O14" s="24"/>
    </row>
    <row r="15" spans="1:15" x14ac:dyDescent="0.3">
      <c r="A15" s="24">
        <v>9</v>
      </c>
      <c r="B15" s="24" t="s">
        <v>160</v>
      </c>
      <c r="C15" s="24" t="s">
        <v>162</v>
      </c>
      <c r="D15" s="24"/>
      <c r="E15" s="24" t="s">
        <v>96</v>
      </c>
      <c r="F15" s="22"/>
      <c r="G15" s="25"/>
      <c r="H15" s="24" t="str">
        <f t="shared" si="2"/>
        <v/>
      </c>
      <c r="I15" s="26"/>
      <c r="J15" s="27" t="str">
        <f t="shared" si="3"/>
        <v/>
      </c>
      <c r="K15" s="27" t="str">
        <f>IFERROR(J15*Продукт!B7,"")</f>
        <v/>
      </c>
      <c r="L15" s="24"/>
      <c r="M15" s="24"/>
      <c r="N15" s="24"/>
      <c r="O15" s="24"/>
    </row>
    <row r="16" spans="1:15" x14ac:dyDescent="0.3">
      <c r="A16" s="24">
        <v>10</v>
      </c>
      <c r="B16" s="24" t="s">
        <v>160</v>
      </c>
      <c r="C16" s="24" t="s">
        <v>163</v>
      </c>
      <c r="D16" s="24"/>
      <c r="E16" s="24" t="s">
        <v>96</v>
      </c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x14ac:dyDescent="0.3">
      <c r="A17" s="24">
        <v>11</v>
      </c>
      <c r="B17" s="24" t="s">
        <v>160</v>
      </c>
      <c r="C17" s="24"/>
      <c r="D17" s="24"/>
      <c r="E17" s="24"/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x14ac:dyDescent="0.3">
      <c r="A18" s="24">
        <v>12</v>
      </c>
      <c r="B18" s="24" t="s">
        <v>160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x14ac:dyDescent="0.3">
      <c r="A19" s="24">
        <v>13</v>
      </c>
      <c r="B19" s="24" t="s">
        <v>160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x14ac:dyDescent="0.3">
      <c r="A20" s="24">
        <v>14</v>
      </c>
      <c r="B20" s="24" t="s">
        <v>160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x14ac:dyDescent="0.3">
      <c r="A21" s="24">
        <v>15</v>
      </c>
      <c r="B21" s="24" t="s">
        <v>160</v>
      </c>
      <c r="C21" s="24"/>
      <c r="D21" s="24"/>
      <c r="E21" s="24"/>
      <c r="F21" s="22"/>
      <c r="G21" s="25"/>
      <c r="H21" s="24" t="str">
        <f t="shared" si="2"/>
        <v/>
      </c>
      <c r="I21" s="26"/>
      <c r="J21" s="27" t="str">
        <f t="shared" si="3"/>
        <v/>
      </c>
      <c r="K21" s="27" t="str">
        <f>IFERROR(J21*Продукт!B7,"")</f>
        <v/>
      </c>
      <c r="L21" s="24"/>
      <c r="M21" s="24"/>
      <c r="N21" s="24"/>
      <c r="O21" s="24"/>
    </row>
    <row r="22" spans="1:15" x14ac:dyDescent="0.3">
      <c r="A22" s="4" t="s">
        <v>164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">
      <c r="A23" s="24">
        <v>16</v>
      </c>
      <c r="B23" s="24" t="s">
        <v>164</v>
      </c>
      <c r="C23" s="24" t="s">
        <v>165</v>
      </c>
      <c r="D23" s="24"/>
      <c r="E23" s="24" t="s">
        <v>51</v>
      </c>
      <c r="F23" s="22"/>
      <c r="G23" s="25"/>
      <c r="H23" s="24" t="str">
        <f t="shared" ref="H23:H30" si="4">IF(F23="","",F23*(1+IFERROR(G23,0)))</f>
        <v/>
      </c>
      <c r="I23" s="26"/>
      <c r="J23" s="27" t="str">
        <f t="shared" ref="J23:J30" si="5">IFERROR(H23*I23,"")</f>
        <v/>
      </c>
      <c r="K23" s="27" t="str">
        <f>IFERROR(J23*Продукт!B7,"")</f>
        <v/>
      </c>
      <c r="L23" s="24"/>
      <c r="M23" s="24"/>
      <c r="N23" s="24"/>
      <c r="O23" s="24"/>
    </row>
    <row r="24" spans="1:15" x14ac:dyDescent="0.3">
      <c r="A24" s="24">
        <v>17</v>
      </c>
      <c r="B24" s="24" t="s">
        <v>164</v>
      </c>
      <c r="C24" s="24" t="s">
        <v>166</v>
      </c>
      <c r="D24" s="24"/>
      <c r="E24" s="24" t="s">
        <v>51</v>
      </c>
      <c r="F24" s="22"/>
      <c r="G24" s="25"/>
      <c r="H24" s="24" t="str">
        <f t="shared" si="4"/>
        <v/>
      </c>
      <c r="I24" s="26"/>
      <c r="J24" s="27" t="str">
        <f t="shared" si="5"/>
        <v/>
      </c>
      <c r="K24" s="27" t="str">
        <f>IFERROR(J24*Продукт!B7,"")</f>
        <v/>
      </c>
      <c r="L24" s="24"/>
      <c r="M24" s="24"/>
      <c r="N24" s="24"/>
      <c r="O24" s="24"/>
    </row>
    <row r="25" spans="1:15" x14ac:dyDescent="0.3">
      <c r="A25" s="24">
        <v>18</v>
      </c>
      <c r="B25" s="24" t="s">
        <v>164</v>
      </c>
      <c r="C25" s="24" t="s">
        <v>167</v>
      </c>
      <c r="D25" s="24"/>
      <c r="E25" s="24" t="s">
        <v>76</v>
      </c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x14ac:dyDescent="0.3">
      <c r="A26" s="24">
        <v>19</v>
      </c>
      <c r="B26" s="24" t="s">
        <v>164</v>
      </c>
      <c r="C26" s="24"/>
      <c r="D26" s="24"/>
      <c r="E26" s="24"/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x14ac:dyDescent="0.3">
      <c r="A27" s="24">
        <v>20</v>
      </c>
      <c r="B27" s="24" t="s">
        <v>164</v>
      </c>
      <c r="C27" s="24"/>
      <c r="D27" s="24"/>
      <c r="E27" s="24"/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x14ac:dyDescent="0.3">
      <c r="A28" s="24">
        <v>21</v>
      </c>
      <c r="B28" s="24" t="s">
        <v>164</v>
      </c>
      <c r="C28" s="24"/>
      <c r="D28" s="24"/>
      <c r="E28" s="24"/>
      <c r="F28" s="22"/>
      <c r="G28" s="25"/>
      <c r="H28" s="24" t="str">
        <f t="shared" si="4"/>
        <v/>
      </c>
      <c r="I28" s="26"/>
      <c r="J28" s="27" t="str">
        <f t="shared" si="5"/>
        <v/>
      </c>
      <c r="K28" s="27" t="str">
        <f>IFERROR(J28*Продукт!B7,"")</f>
        <v/>
      </c>
      <c r="L28" s="24"/>
      <c r="M28" s="24"/>
      <c r="N28" s="24"/>
      <c r="O28" s="24"/>
    </row>
    <row r="29" spans="1:15" x14ac:dyDescent="0.3">
      <c r="A29" s="24">
        <v>22</v>
      </c>
      <c r="B29" s="24" t="s">
        <v>164</v>
      </c>
      <c r="C29" s="24"/>
      <c r="D29" s="24"/>
      <c r="E29" s="24"/>
      <c r="F29" s="22"/>
      <c r="G29" s="25"/>
      <c r="H29" s="24" t="str">
        <f t="shared" si="4"/>
        <v/>
      </c>
      <c r="I29" s="26"/>
      <c r="J29" s="27" t="str">
        <f t="shared" si="5"/>
        <v/>
      </c>
      <c r="K29" s="27" t="str">
        <f>IFERROR(J29*Продукт!B7,"")</f>
        <v/>
      </c>
      <c r="L29" s="24"/>
      <c r="M29" s="24"/>
      <c r="N29" s="24"/>
      <c r="O29" s="24"/>
    </row>
    <row r="30" spans="1:15" x14ac:dyDescent="0.3">
      <c r="A30" s="24">
        <v>23</v>
      </c>
      <c r="B30" s="24" t="s">
        <v>164</v>
      </c>
      <c r="C30" s="24"/>
      <c r="D30" s="24"/>
      <c r="E30" s="24"/>
      <c r="F30" s="22"/>
      <c r="G30" s="25"/>
      <c r="H30" s="24" t="str">
        <f t="shared" si="4"/>
        <v/>
      </c>
      <c r="I30" s="26"/>
      <c r="J30" s="27" t="str">
        <f t="shared" si="5"/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3" t="s">
        <v>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">
      <c r="A32" s="24">
        <v>24</v>
      </c>
      <c r="B32" s="24"/>
      <c r="C32" s="24"/>
      <c r="D32" s="24"/>
      <c r="E32" s="24"/>
      <c r="F32" s="22"/>
      <c r="G32" s="25"/>
      <c r="H32" s="24" t="str">
        <f>IF(F32="","",F32*(1+IFERROR(G32,0)))</f>
        <v/>
      </c>
      <c r="I32" s="26"/>
      <c r="J32" s="27" t="str">
        <f>IFERROR(H32*I32,"")</f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24">
        <v>25</v>
      </c>
      <c r="B33" s="24"/>
      <c r="C33" s="24"/>
      <c r="D33" s="24"/>
      <c r="E33" s="24"/>
      <c r="F33" s="22"/>
      <c r="G33" s="25"/>
      <c r="H33" s="24" t="str">
        <f>IF(F33="","",F33*(1+IFERROR(G33,0)))</f>
        <v/>
      </c>
      <c r="I33" s="26"/>
      <c r="J33" s="27" t="str">
        <f>IFERROR(H33*I33,"")</f>
        <v/>
      </c>
      <c r="K33" s="27" t="str">
        <f>IFERROR(J33*Продукт!B7,"")</f>
        <v/>
      </c>
      <c r="L33" s="24"/>
      <c r="M33" s="24"/>
      <c r="N33" s="24"/>
      <c r="O33" s="24"/>
    </row>
    <row r="34" spans="1:15" x14ac:dyDescent="0.3">
      <c r="A34" s="24">
        <v>26</v>
      </c>
      <c r="B34" s="24"/>
      <c r="C34" s="24"/>
      <c r="D34" s="24"/>
      <c r="E34" s="24"/>
      <c r="F34" s="22"/>
      <c r="G34" s="25"/>
      <c r="H34" s="24" t="str">
        <f>IF(F34="","",F34*(1+IFERROR(G34,0)))</f>
        <v/>
      </c>
      <c r="I34" s="26"/>
      <c r="J34" s="27" t="str">
        <f>IFERROR(H34*I34,"")</f>
        <v/>
      </c>
      <c r="K34" s="27" t="str">
        <f>IFERROR(J34*Продукт!B7,"")</f>
        <v/>
      </c>
      <c r="L34" s="24"/>
      <c r="M34" s="24"/>
      <c r="N34" s="24"/>
      <c r="O34" s="24"/>
    </row>
    <row r="35" spans="1:15" x14ac:dyDescent="0.3">
      <c r="A35" s="24">
        <v>27</v>
      </c>
      <c r="B35" s="24"/>
      <c r="C35" s="24"/>
      <c r="D35" s="24"/>
      <c r="E35" s="24"/>
      <c r="F35" s="22"/>
      <c r="G35" s="25"/>
      <c r="H35" s="24" t="str">
        <f>IF(F35="","",F35*(1+IFERROR(G35,0)))</f>
        <v/>
      </c>
      <c r="I35" s="26"/>
      <c r="J35" s="27" t="str">
        <f>IFERROR(H35*I35,"")</f>
        <v/>
      </c>
      <c r="K35" s="27" t="str">
        <f>IFERROR(J35*Продукт!B7,"")</f>
        <v/>
      </c>
      <c r="L35" s="24"/>
      <c r="M35" s="24"/>
      <c r="N35" s="24"/>
      <c r="O35" s="24"/>
    </row>
    <row r="36" spans="1:15" x14ac:dyDescent="0.3">
      <c r="A36" s="24">
        <v>28</v>
      </c>
      <c r="B36" s="24"/>
      <c r="C36" s="24"/>
      <c r="D36" s="24"/>
      <c r="E36" s="24"/>
      <c r="F36" s="22"/>
      <c r="G36" s="25"/>
      <c r="H36" s="24" t="str">
        <f>IF(F36="","",F36*(1+IFERROR(G36,0)))</f>
        <v/>
      </c>
      <c r="I36" s="26"/>
      <c r="J36" s="27" t="str">
        <f>IFERROR(H36*I36,"")</f>
        <v/>
      </c>
      <c r="K36" s="27" t="str">
        <f>IFERROR(J36*Продукт!B7,"")</f>
        <v/>
      </c>
      <c r="L36" s="24"/>
      <c r="M36" s="24"/>
      <c r="N36" s="24"/>
      <c r="O36" s="24"/>
    </row>
    <row r="38" spans="1:15" x14ac:dyDescent="0.3">
      <c r="A38" s="2" t="s">
        <v>90</v>
      </c>
      <c r="B38" s="2"/>
      <c r="C38" s="2"/>
      <c r="D38" s="2"/>
      <c r="E38" s="2"/>
      <c r="F38" s="2"/>
      <c r="G38" s="2"/>
      <c r="H38" s="2"/>
      <c r="I38" s="2"/>
      <c r="J38" s="28">
        <f>SUMIF(J5:J36,"&gt;0")</f>
        <v>0</v>
      </c>
      <c r="K38" s="28">
        <f>SUMIF(K5:K36,"&gt;0")</f>
        <v>0</v>
      </c>
      <c r="L38" s="29"/>
      <c r="M38" s="29"/>
      <c r="N38" s="29"/>
      <c r="O38" s="29"/>
    </row>
  </sheetData>
  <mergeCells count="7">
    <mergeCell ref="A31:O31"/>
    <mergeCell ref="A38:I38"/>
    <mergeCell ref="A1:O1"/>
    <mergeCell ref="A2:O2"/>
    <mergeCell ref="A5:O5"/>
    <mergeCell ref="A13:O13"/>
    <mergeCell ref="A22:O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168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169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">
      <c r="A6" s="24">
        <v>1</v>
      </c>
      <c r="B6" s="24" t="s">
        <v>169</v>
      </c>
      <c r="C6" s="24" t="s">
        <v>170</v>
      </c>
      <c r="D6" s="24"/>
      <c r="E6" s="24" t="s">
        <v>171</v>
      </c>
      <c r="F6" s="22"/>
      <c r="G6" s="25"/>
      <c r="H6" s="24" t="str">
        <f t="shared" ref="H6:H11" si="0">IF(F6="","",F6*(1+IFERROR(G6,0)))</f>
        <v/>
      </c>
      <c r="I6" s="26"/>
      <c r="J6" s="27" t="str">
        <f t="shared" ref="J6:J11" si="1">IFERROR(H6*I6,"")</f>
        <v/>
      </c>
      <c r="K6" s="27" t="str">
        <f>IFERROR(J6*Продукт!B7,"")</f>
        <v/>
      </c>
      <c r="L6" s="24"/>
      <c r="M6" s="24"/>
      <c r="N6" s="24"/>
      <c r="O6" s="24"/>
    </row>
    <row r="7" spans="1:15" x14ac:dyDescent="0.3">
      <c r="A7" s="24">
        <v>2</v>
      </c>
      <c r="B7" s="24" t="s">
        <v>169</v>
      </c>
      <c r="C7" s="24"/>
      <c r="D7" s="24"/>
      <c r="E7" s="24"/>
      <c r="F7" s="22"/>
      <c r="G7" s="25"/>
      <c r="H7" s="24" t="str">
        <f t="shared" si="0"/>
        <v/>
      </c>
      <c r="I7" s="26"/>
      <c r="J7" s="27" t="str">
        <f t="shared" si="1"/>
        <v/>
      </c>
      <c r="K7" s="27" t="str">
        <f>IFERROR(J7*Продукт!B7,"")</f>
        <v/>
      </c>
      <c r="L7" s="24"/>
      <c r="M7" s="24"/>
      <c r="N7" s="24"/>
      <c r="O7" s="24"/>
    </row>
    <row r="8" spans="1:15" x14ac:dyDescent="0.3">
      <c r="A8" s="24">
        <v>3</v>
      </c>
      <c r="B8" s="24" t="s">
        <v>169</v>
      </c>
      <c r="C8" s="24"/>
      <c r="D8" s="24"/>
      <c r="E8" s="24"/>
      <c r="F8" s="22"/>
      <c r="G8" s="25"/>
      <c r="H8" s="24" t="str">
        <f t="shared" si="0"/>
        <v/>
      </c>
      <c r="I8" s="26"/>
      <c r="J8" s="27" t="str">
        <f t="shared" si="1"/>
        <v/>
      </c>
      <c r="K8" s="27" t="str">
        <f>IFERROR(J8*Продукт!B7,"")</f>
        <v/>
      </c>
      <c r="L8" s="24"/>
      <c r="M8" s="24"/>
      <c r="N8" s="24"/>
      <c r="O8" s="24"/>
    </row>
    <row r="9" spans="1:15" x14ac:dyDescent="0.3">
      <c r="A9" s="24">
        <v>4</v>
      </c>
      <c r="B9" s="24" t="s">
        <v>169</v>
      </c>
      <c r="C9" s="24"/>
      <c r="D9" s="24"/>
      <c r="E9" s="24"/>
      <c r="F9" s="22"/>
      <c r="G9" s="25"/>
      <c r="H9" s="24" t="str">
        <f t="shared" si="0"/>
        <v/>
      </c>
      <c r="I9" s="26"/>
      <c r="J9" s="27" t="str">
        <f t="shared" si="1"/>
        <v/>
      </c>
      <c r="K9" s="27" t="str">
        <f>IFERROR(J9*Продукт!B7,"")</f>
        <v/>
      </c>
      <c r="L9" s="24"/>
      <c r="M9" s="24"/>
      <c r="N9" s="24"/>
      <c r="O9" s="24"/>
    </row>
    <row r="10" spans="1:15" x14ac:dyDescent="0.3">
      <c r="A10" s="24">
        <v>5</v>
      </c>
      <c r="B10" s="24" t="s">
        <v>169</v>
      </c>
      <c r="C10" s="24"/>
      <c r="D10" s="24"/>
      <c r="E10" s="24"/>
      <c r="F10" s="22"/>
      <c r="G10" s="25"/>
      <c r="H10" s="24" t="str">
        <f t="shared" si="0"/>
        <v/>
      </c>
      <c r="I10" s="26"/>
      <c r="J10" s="27" t="str">
        <f t="shared" si="1"/>
        <v/>
      </c>
      <c r="K10" s="27" t="str">
        <f>IFERROR(J10*Продукт!B7,"")</f>
        <v/>
      </c>
      <c r="L10" s="24"/>
      <c r="M10" s="24"/>
      <c r="N10" s="24"/>
      <c r="O10" s="24"/>
    </row>
    <row r="11" spans="1:15" x14ac:dyDescent="0.3">
      <c r="A11" s="24">
        <v>6</v>
      </c>
      <c r="B11" s="24" t="s">
        <v>169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x14ac:dyDescent="0.3">
      <c r="A12" s="4" t="s">
        <v>172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24">
        <v>7</v>
      </c>
      <c r="B13" s="24" t="s">
        <v>172</v>
      </c>
      <c r="C13" s="24" t="s">
        <v>173</v>
      </c>
      <c r="D13" s="24"/>
      <c r="E13" s="24" t="s">
        <v>81</v>
      </c>
      <c r="F13" s="22"/>
      <c r="G13" s="25"/>
      <c r="H13" s="24" t="str">
        <f t="shared" ref="H13:H19" si="2">IF(F13="","",F13*(1+IFERROR(G13,0)))</f>
        <v/>
      </c>
      <c r="I13" s="26"/>
      <c r="J13" s="27" t="str">
        <f t="shared" ref="J13:J19" si="3">IFERROR(H13*I13,"")</f>
        <v/>
      </c>
      <c r="K13" s="27" t="str">
        <f>IFERROR(J13*Продукт!B7,"")</f>
        <v/>
      </c>
      <c r="L13" s="24"/>
      <c r="M13" s="24"/>
      <c r="N13" s="24"/>
      <c r="O13" s="24"/>
    </row>
    <row r="14" spans="1:15" x14ac:dyDescent="0.3">
      <c r="A14" s="24">
        <v>8</v>
      </c>
      <c r="B14" s="24" t="s">
        <v>172</v>
      </c>
      <c r="C14" s="24" t="s">
        <v>174</v>
      </c>
      <c r="D14" s="24"/>
      <c r="E14" s="24" t="s">
        <v>175</v>
      </c>
      <c r="F14" s="22"/>
      <c r="G14" s="25"/>
      <c r="H14" s="24" t="str">
        <f t="shared" si="2"/>
        <v/>
      </c>
      <c r="I14" s="26"/>
      <c r="J14" s="27" t="str">
        <f t="shared" si="3"/>
        <v/>
      </c>
      <c r="K14" s="27" t="str">
        <f>IFERROR(J14*Продукт!B7,"")</f>
        <v/>
      </c>
      <c r="L14" s="24"/>
      <c r="M14" s="24"/>
      <c r="N14" s="24"/>
      <c r="O14" s="24"/>
    </row>
    <row r="15" spans="1:15" x14ac:dyDescent="0.3">
      <c r="A15" s="24">
        <v>9</v>
      </c>
      <c r="B15" s="24" t="s">
        <v>172</v>
      </c>
      <c r="C15" s="24"/>
      <c r="D15" s="24"/>
      <c r="E15" s="24"/>
      <c r="F15" s="22"/>
      <c r="G15" s="25"/>
      <c r="H15" s="24" t="str">
        <f t="shared" si="2"/>
        <v/>
      </c>
      <c r="I15" s="26"/>
      <c r="J15" s="27" t="str">
        <f t="shared" si="3"/>
        <v/>
      </c>
      <c r="K15" s="27" t="str">
        <f>IFERROR(J15*Продукт!B7,"")</f>
        <v/>
      </c>
      <c r="L15" s="24"/>
      <c r="M15" s="24"/>
      <c r="N15" s="24"/>
      <c r="O15" s="24"/>
    </row>
    <row r="16" spans="1:15" x14ac:dyDescent="0.3">
      <c r="A16" s="24">
        <v>10</v>
      </c>
      <c r="B16" s="24" t="s">
        <v>172</v>
      </c>
      <c r="C16" s="24"/>
      <c r="D16" s="24"/>
      <c r="E16" s="24"/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x14ac:dyDescent="0.3">
      <c r="A17" s="24">
        <v>11</v>
      </c>
      <c r="B17" s="24" t="s">
        <v>172</v>
      </c>
      <c r="C17" s="24"/>
      <c r="D17" s="24"/>
      <c r="E17" s="24"/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x14ac:dyDescent="0.3">
      <c r="A18" s="24">
        <v>12</v>
      </c>
      <c r="B18" s="24" t="s">
        <v>172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x14ac:dyDescent="0.3">
      <c r="A19" s="24">
        <v>13</v>
      </c>
      <c r="B19" s="24" t="s">
        <v>172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x14ac:dyDescent="0.3">
      <c r="A20" s="4" t="s">
        <v>176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24">
        <v>14</v>
      </c>
      <c r="B21" s="24" t="s">
        <v>176</v>
      </c>
      <c r="C21" s="24" t="s">
        <v>177</v>
      </c>
      <c r="D21" s="24"/>
      <c r="E21" s="24" t="s">
        <v>81</v>
      </c>
      <c r="F21" s="22"/>
      <c r="G21" s="25"/>
      <c r="H21" s="24" t="str">
        <f t="shared" ref="H21:H27" si="4">IF(F21="","",F21*(1+IFERROR(G21,0)))</f>
        <v/>
      </c>
      <c r="I21" s="26"/>
      <c r="J21" s="27" t="str">
        <f t="shared" ref="J21:J27" si="5">IFERROR(H21*I21,"")</f>
        <v/>
      </c>
      <c r="K21" s="27" t="str">
        <f>IFERROR(J21*Продукт!B7,"")</f>
        <v/>
      </c>
      <c r="L21" s="24"/>
      <c r="M21" s="24"/>
      <c r="N21" s="24"/>
      <c r="O21" s="24"/>
    </row>
    <row r="22" spans="1:15" ht="26.4" x14ac:dyDescent="0.3">
      <c r="A22" s="24">
        <v>15</v>
      </c>
      <c r="B22" s="24" t="s">
        <v>176</v>
      </c>
      <c r="C22" s="24" t="s">
        <v>178</v>
      </c>
      <c r="D22" s="24"/>
      <c r="E22" s="24" t="s">
        <v>81</v>
      </c>
      <c r="F22" s="22"/>
      <c r="G22" s="25"/>
      <c r="H22" s="24" t="str">
        <f t="shared" si="4"/>
        <v/>
      </c>
      <c r="I22" s="26"/>
      <c r="J22" s="27" t="str">
        <f t="shared" si="5"/>
        <v/>
      </c>
      <c r="K22" s="27" t="str">
        <f>IFERROR(J22*Продукт!B7,"")</f>
        <v/>
      </c>
      <c r="L22" s="24"/>
      <c r="M22" s="24"/>
      <c r="N22" s="24"/>
      <c r="O22" s="24"/>
    </row>
    <row r="23" spans="1:15" x14ac:dyDescent="0.3">
      <c r="A23" s="24">
        <v>16</v>
      </c>
      <c r="B23" s="24" t="s">
        <v>176</v>
      </c>
      <c r="C23" s="24"/>
      <c r="D23" s="24"/>
      <c r="E23" s="24"/>
      <c r="F23" s="22"/>
      <c r="G23" s="25"/>
      <c r="H23" s="24" t="str">
        <f t="shared" si="4"/>
        <v/>
      </c>
      <c r="I23" s="26"/>
      <c r="J23" s="27" t="str">
        <f t="shared" si="5"/>
        <v/>
      </c>
      <c r="K23" s="27" t="str">
        <f>IFERROR(J23*Продукт!B7,"")</f>
        <v/>
      </c>
      <c r="L23" s="24"/>
      <c r="M23" s="24"/>
      <c r="N23" s="24"/>
      <c r="O23" s="24"/>
    </row>
    <row r="24" spans="1:15" x14ac:dyDescent="0.3">
      <c r="A24" s="24">
        <v>17</v>
      </c>
      <c r="B24" s="24" t="s">
        <v>176</v>
      </c>
      <c r="C24" s="24"/>
      <c r="D24" s="24"/>
      <c r="E24" s="24"/>
      <c r="F24" s="22"/>
      <c r="G24" s="25"/>
      <c r="H24" s="24" t="str">
        <f t="shared" si="4"/>
        <v/>
      </c>
      <c r="I24" s="26"/>
      <c r="J24" s="27" t="str">
        <f t="shared" si="5"/>
        <v/>
      </c>
      <c r="K24" s="27" t="str">
        <f>IFERROR(J24*Продукт!B7,"")</f>
        <v/>
      </c>
      <c r="L24" s="24"/>
      <c r="M24" s="24"/>
      <c r="N24" s="24"/>
      <c r="O24" s="24"/>
    </row>
    <row r="25" spans="1:15" x14ac:dyDescent="0.3">
      <c r="A25" s="24">
        <v>18</v>
      </c>
      <c r="B25" s="24" t="s">
        <v>176</v>
      </c>
      <c r="C25" s="24"/>
      <c r="D25" s="24"/>
      <c r="E25" s="24"/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x14ac:dyDescent="0.3">
      <c r="A26" s="24">
        <v>19</v>
      </c>
      <c r="B26" s="24" t="s">
        <v>176</v>
      </c>
      <c r="C26" s="24"/>
      <c r="D26" s="24"/>
      <c r="E26" s="24"/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x14ac:dyDescent="0.3">
      <c r="A27" s="24">
        <v>20</v>
      </c>
      <c r="B27" s="24" t="s">
        <v>176</v>
      </c>
      <c r="C27" s="24"/>
      <c r="D27" s="24"/>
      <c r="E27" s="24"/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x14ac:dyDescent="0.3">
      <c r="A28" s="4" t="s">
        <v>179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">
      <c r="A29" s="24">
        <v>21</v>
      </c>
      <c r="B29" s="24" t="s">
        <v>179</v>
      </c>
      <c r="C29" s="24" t="s">
        <v>180</v>
      </c>
      <c r="D29" s="24"/>
      <c r="E29" s="24" t="s">
        <v>81</v>
      </c>
      <c r="F29" s="22"/>
      <c r="G29" s="25"/>
      <c r="H29" s="24" t="str">
        <f t="shared" ref="H29:H35" si="6">IF(F29="","",F29*(1+IFERROR(G29,0)))</f>
        <v/>
      </c>
      <c r="I29" s="26"/>
      <c r="J29" s="27" t="str">
        <f t="shared" ref="J29:J35" si="7">IFERROR(H29*I29,"")</f>
        <v/>
      </c>
      <c r="K29" s="27" t="str">
        <f>IFERROR(J29*Продукт!B7,"")</f>
        <v/>
      </c>
      <c r="L29" s="24"/>
      <c r="M29" s="24"/>
      <c r="N29" s="24"/>
      <c r="O29" s="24"/>
    </row>
    <row r="30" spans="1:15" x14ac:dyDescent="0.3">
      <c r="A30" s="24">
        <v>22</v>
      </c>
      <c r="B30" s="24" t="s">
        <v>179</v>
      </c>
      <c r="C30" s="24" t="s">
        <v>181</v>
      </c>
      <c r="D30" s="24"/>
      <c r="E30" s="24" t="s">
        <v>81</v>
      </c>
      <c r="F30" s="22"/>
      <c r="G30" s="25"/>
      <c r="H30" s="24" t="str">
        <f t="shared" si="6"/>
        <v/>
      </c>
      <c r="I30" s="26"/>
      <c r="J30" s="27" t="str">
        <f t="shared" si="7"/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24">
        <v>23</v>
      </c>
      <c r="B31" s="24" t="s">
        <v>179</v>
      </c>
      <c r="C31" s="24"/>
      <c r="D31" s="24"/>
      <c r="E31" s="24"/>
      <c r="F31" s="22"/>
      <c r="G31" s="25"/>
      <c r="H31" s="24" t="str">
        <f t="shared" si="6"/>
        <v/>
      </c>
      <c r="I31" s="26"/>
      <c r="J31" s="27" t="str">
        <f t="shared" si="7"/>
        <v/>
      </c>
      <c r="K31" s="27" t="str">
        <f>IFERROR(J31*Продукт!B7,"")</f>
        <v/>
      </c>
      <c r="L31" s="24"/>
      <c r="M31" s="24"/>
      <c r="N31" s="24"/>
      <c r="O31" s="24"/>
    </row>
    <row r="32" spans="1:15" x14ac:dyDescent="0.3">
      <c r="A32" s="24">
        <v>24</v>
      </c>
      <c r="B32" s="24" t="s">
        <v>179</v>
      </c>
      <c r="C32" s="24"/>
      <c r="D32" s="24"/>
      <c r="E32" s="24"/>
      <c r="F32" s="22"/>
      <c r="G32" s="25"/>
      <c r="H32" s="24" t="str">
        <f t="shared" si="6"/>
        <v/>
      </c>
      <c r="I32" s="26"/>
      <c r="J32" s="27" t="str">
        <f t="shared" si="7"/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24">
        <v>25</v>
      </c>
      <c r="B33" s="24" t="s">
        <v>179</v>
      </c>
      <c r="C33" s="24"/>
      <c r="D33" s="24"/>
      <c r="E33" s="24"/>
      <c r="F33" s="22"/>
      <c r="G33" s="25"/>
      <c r="H33" s="24" t="str">
        <f t="shared" si="6"/>
        <v/>
      </c>
      <c r="I33" s="26"/>
      <c r="J33" s="27" t="str">
        <f t="shared" si="7"/>
        <v/>
      </c>
      <c r="K33" s="27" t="str">
        <f>IFERROR(J33*Продукт!B7,"")</f>
        <v/>
      </c>
      <c r="L33" s="24"/>
      <c r="M33" s="24"/>
      <c r="N33" s="24"/>
      <c r="O33" s="24"/>
    </row>
    <row r="34" spans="1:15" x14ac:dyDescent="0.3">
      <c r="A34" s="24">
        <v>26</v>
      </c>
      <c r="B34" s="24" t="s">
        <v>179</v>
      </c>
      <c r="C34" s="24"/>
      <c r="D34" s="24"/>
      <c r="E34" s="24"/>
      <c r="F34" s="22"/>
      <c r="G34" s="25"/>
      <c r="H34" s="24" t="str">
        <f t="shared" si="6"/>
        <v/>
      </c>
      <c r="I34" s="26"/>
      <c r="J34" s="27" t="str">
        <f t="shared" si="7"/>
        <v/>
      </c>
      <c r="K34" s="27" t="str">
        <f>IFERROR(J34*Продукт!B7,"")</f>
        <v/>
      </c>
      <c r="L34" s="24"/>
      <c r="M34" s="24"/>
      <c r="N34" s="24"/>
      <c r="O34" s="24"/>
    </row>
    <row r="35" spans="1:15" x14ac:dyDescent="0.3">
      <c r="A35" s="24">
        <v>27</v>
      </c>
      <c r="B35" s="24" t="s">
        <v>179</v>
      </c>
      <c r="C35" s="24"/>
      <c r="D35" s="24"/>
      <c r="E35" s="24"/>
      <c r="F35" s="22"/>
      <c r="G35" s="25"/>
      <c r="H35" s="24" t="str">
        <f t="shared" si="6"/>
        <v/>
      </c>
      <c r="I35" s="26"/>
      <c r="J35" s="27" t="str">
        <f t="shared" si="7"/>
        <v/>
      </c>
      <c r="K35" s="27" t="str">
        <f>IFERROR(J35*Продукт!B7,"")</f>
        <v/>
      </c>
      <c r="L35" s="24"/>
      <c r="M35" s="24"/>
      <c r="N35" s="24"/>
      <c r="O35" s="24"/>
    </row>
    <row r="36" spans="1:15" x14ac:dyDescent="0.3">
      <c r="A36" s="3" t="s">
        <v>89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">
      <c r="A37" s="24">
        <v>28</v>
      </c>
      <c r="B37" s="24"/>
      <c r="C37" s="24"/>
      <c r="D37" s="24"/>
      <c r="E37" s="24"/>
      <c r="F37" s="22"/>
      <c r="G37" s="25"/>
      <c r="H37" s="24" t="str">
        <f>IF(F37="","",F37*(1+IFERROR(G37,0)))</f>
        <v/>
      </c>
      <c r="I37" s="26"/>
      <c r="J37" s="27" t="str">
        <f>IFERROR(H37*I37,"")</f>
        <v/>
      </c>
      <c r="K37" s="27" t="str">
        <f>IFERROR(J37*Продукт!B7,"")</f>
        <v/>
      </c>
      <c r="L37" s="24"/>
      <c r="M37" s="24"/>
      <c r="N37" s="24"/>
      <c r="O37" s="24"/>
    </row>
    <row r="38" spans="1:15" x14ac:dyDescent="0.3">
      <c r="A38" s="24">
        <v>29</v>
      </c>
      <c r="B38" s="24"/>
      <c r="C38" s="24"/>
      <c r="D38" s="24"/>
      <c r="E38" s="24"/>
      <c r="F38" s="22"/>
      <c r="G38" s="25"/>
      <c r="H38" s="24" t="str">
        <f>IF(F38="","",F38*(1+IFERROR(G38,0)))</f>
        <v/>
      </c>
      <c r="I38" s="26"/>
      <c r="J38" s="27" t="str">
        <f>IFERROR(H38*I38,"")</f>
        <v/>
      </c>
      <c r="K38" s="27" t="str">
        <f>IFERROR(J38*Продукт!B7,"")</f>
        <v/>
      </c>
      <c r="L38" s="24"/>
      <c r="M38" s="24"/>
      <c r="N38" s="24"/>
      <c r="O38" s="24"/>
    </row>
    <row r="39" spans="1:15" x14ac:dyDescent="0.3">
      <c r="A39" s="24">
        <v>30</v>
      </c>
      <c r="B39" s="24"/>
      <c r="C39" s="24"/>
      <c r="D39" s="24"/>
      <c r="E39" s="24"/>
      <c r="F39" s="22"/>
      <c r="G39" s="25"/>
      <c r="H39" s="24" t="str">
        <f>IF(F39="","",F39*(1+IFERROR(G39,0)))</f>
        <v/>
      </c>
      <c r="I39" s="26"/>
      <c r="J39" s="27" t="str">
        <f>IFERROR(H39*I39,"")</f>
        <v/>
      </c>
      <c r="K39" s="27" t="str">
        <f>IFERROR(J39*Продукт!B7,"")</f>
        <v/>
      </c>
      <c r="L39" s="24"/>
      <c r="M39" s="24"/>
      <c r="N39" s="24"/>
      <c r="O39" s="24"/>
    </row>
    <row r="40" spans="1:15" x14ac:dyDescent="0.3">
      <c r="A40" s="24">
        <v>31</v>
      </c>
      <c r="B40" s="24"/>
      <c r="C40" s="24"/>
      <c r="D40" s="24"/>
      <c r="E40" s="24"/>
      <c r="F40" s="22"/>
      <c r="G40" s="25"/>
      <c r="H40" s="24" t="str">
        <f>IF(F40="","",F40*(1+IFERROR(G40,0)))</f>
        <v/>
      </c>
      <c r="I40" s="26"/>
      <c r="J40" s="27" t="str">
        <f>IFERROR(H40*I40,"")</f>
        <v/>
      </c>
      <c r="K40" s="27" t="str">
        <f>IFERROR(J40*Продукт!B7,"")</f>
        <v/>
      </c>
      <c r="L40" s="24"/>
      <c r="M40" s="24"/>
      <c r="N40" s="24"/>
      <c r="O40" s="24"/>
    </row>
    <row r="41" spans="1:15" x14ac:dyDescent="0.3">
      <c r="A41" s="24">
        <v>32</v>
      </c>
      <c r="B41" s="24"/>
      <c r="C41" s="24"/>
      <c r="D41" s="24"/>
      <c r="E41" s="24"/>
      <c r="F41" s="22"/>
      <c r="G41" s="25"/>
      <c r="H41" s="24" t="str">
        <f>IF(F41="","",F41*(1+IFERROR(G41,0)))</f>
        <v/>
      </c>
      <c r="I41" s="26"/>
      <c r="J41" s="27" t="str">
        <f>IFERROR(H41*I41,"")</f>
        <v/>
      </c>
      <c r="K41" s="27" t="str">
        <f>IFERROR(J41*Продукт!B7,"")</f>
        <v/>
      </c>
      <c r="L41" s="24"/>
      <c r="M41" s="24"/>
      <c r="N41" s="24"/>
      <c r="O41" s="24"/>
    </row>
    <row r="43" spans="1:15" x14ac:dyDescent="0.3">
      <c r="A43" s="2" t="s">
        <v>90</v>
      </c>
      <c r="B43" s="2"/>
      <c r="C43" s="2"/>
      <c r="D43" s="2"/>
      <c r="E43" s="2"/>
      <c r="F43" s="2"/>
      <c r="G43" s="2"/>
      <c r="H43" s="2"/>
      <c r="I43" s="2"/>
      <c r="J43" s="28">
        <f>SUMIF(J5:J41,"&gt;0")</f>
        <v>0</v>
      </c>
      <c r="K43" s="28">
        <f>SUMIF(K5:K41,"&gt;0")</f>
        <v>0</v>
      </c>
      <c r="L43" s="29"/>
      <c r="M43" s="29"/>
      <c r="N43" s="29"/>
      <c r="O43" s="29"/>
    </row>
  </sheetData>
  <mergeCells count="8">
    <mergeCell ref="A28:O28"/>
    <mergeCell ref="A36:O36"/>
    <mergeCell ref="A43:I43"/>
    <mergeCell ref="A1:O1"/>
    <mergeCell ref="A2:O2"/>
    <mergeCell ref="A5:O5"/>
    <mergeCell ref="A12:O12"/>
    <mergeCell ref="A20:O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182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183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9.6" x14ac:dyDescent="0.3">
      <c r="A6" s="24">
        <v>1</v>
      </c>
      <c r="B6" s="24" t="s">
        <v>183</v>
      </c>
      <c r="C6" s="24" t="s">
        <v>184</v>
      </c>
      <c r="D6" s="24"/>
      <c r="E6" s="24" t="s">
        <v>185</v>
      </c>
      <c r="F6" s="22"/>
      <c r="G6" s="25"/>
      <c r="H6" s="24" t="str">
        <f t="shared" ref="H6:H14" si="0">IF(F6="","",F6*(1+IFERROR(G6,0)))</f>
        <v/>
      </c>
      <c r="I6" s="26"/>
      <c r="J6" s="27" t="str">
        <f t="shared" ref="J6:J14" si="1">IFERROR(H6*I6,"")</f>
        <v/>
      </c>
      <c r="K6" s="27" t="str">
        <f>IFERROR(J6*Продукт!B7,"")</f>
        <v/>
      </c>
      <c r="L6" s="24"/>
      <c r="M6" s="24"/>
      <c r="N6" s="24"/>
      <c r="O6" s="24"/>
    </row>
    <row r="7" spans="1:15" ht="39.6" x14ac:dyDescent="0.3">
      <c r="A7" s="24">
        <v>2</v>
      </c>
      <c r="B7" s="24" t="s">
        <v>183</v>
      </c>
      <c r="C7" s="24" t="s">
        <v>186</v>
      </c>
      <c r="D7" s="24"/>
      <c r="E7" s="24" t="s">
        <v>51</v>
      </c>
      <c r="F7" s="22"/>
      <c r="G7" s="25"/>
      <c r="H7" s="24" t="str">
        <f t="shared" si="0"/>
        <v/>
      </c>
      <c r="I7" s="26"/>
      <c r="J7" s="27" t="str">
        <f t="shared" si="1"/>
        <v/>
      </c>
      <c r="K7" s="27" t="str">
        <f>IFERROR(J7*Продукт!B7,"")</f>
        <v/>
      </c>
      <c r="L7" s="24"/>
      <c r="M7" s="24"/>
      <c r="N7" s="24"/>
      <c r="O7" s="24"/>
    </row>
    <row r="8" spans="1:15" ht="39.6" x14ac:dyDescent="0.3">
      <c r="A8" s="24">
        <v>3</v>
      </c>
      <c r="B8" s="24" t="s">
        <v>183</v>
      </c>
      <c r="C8" s="24" t="s">
        <v>187</v>
      </c>
      <c r="D8" s="24"/>
      <c r="E8" s="24" t="s">
        <v>51</v>
      </c>
      <c r="F8" s="22"/>
      <c r="G8" s="25"/>
      <c r="H8" s="24" t="str">
        <f t="shared" si="0"/>
        <v/>
      </c>
      <c r="I8" s="26"/>
      <c r="J8" s="27" t="str">
        <f t="shared" si="1"/>
        <v/>
      </c>
      <c r="K8" s="27" t="str">
        <f>IFERROR(J8*Продукт!B7,"")</f>
        <v/>
      </c>
      <c r="L8" s="24"/>
      <c r="M8" s="24"/>
      <c r="N8" s="24"/>
      <c r="O8" s="24"/>
    </row>
    <row r="9" spans="1:15" ht="39.6" x14ac:dyDescent="0.3">
      <c r="A9" s="24">
        <v>4</v>
      </c>
      <c r="B9" s="24" t="s">
        <v>183</v>
      </c>
      <c r="C9" s="24" t="s">
        <v>188</v>
      </c>
      <c r="D9" s="24"/>
      <c r="E9" s="24" t="s">
        <v>185</v>
      </c>
      <c r="F9" s="22"/>
      <c r="G9" s="25"/>
      <c r="H9" s="24" t="str">
        <f t="shared" si="0"/>
        <v/>
      </c>
      <c r="I9" s="26"/>
      <c r="J9" s="27" t="str">
        <f t="shared" si="1"/>
        <v/>
      </c>
      <c r="K9" s="27" t="str">
        <f>IFERROR(J9*Продукт!B7,"")</f>
        <v/>
      </c>
      <c r="L9" s="24"/>
      <c r="M9" s="24"/>
      <c r="N9" s="24"/>
      <c r="O9" s="24"/>
    </row>
    <row r="10" spans="1:15" ht="39.6" x14ac:dyDescent="0.3">
      <c r="A10" s="24">
        <v>5</v>
      </c>
      <c r="B10" s="24" t="s">
        <v>183</v>
      </c>
      <c r="C10" s="24"/>
      <c r="D10" s="24"/>
      <c r="E10" s="24"/>
      <c r="F10" s="22"/>
      <c r="G10" s="25"/>
      <c r="H10" s="24" t="str">
        <f t="shared" si="0"/>
        <v/>
      </c>
      <c r="I10" s="26"/>
      <c r="J10" s="27" t="str">
        <f t="shared" si="1"/>
        <v/>
      </c>
      <c r="K10" s="27" t="str">
        <f>IFERROR(J10*Продукт!B7,"")</f>
        <v/>
      </c>
      <c r="L10" s="24"/>
      <c r="M10" s="24"/>
      <c r="N10" s="24"/>
      <c r="O10" s="24"/>
    </row>
    <row r="11" spans="1:15" ht="39.6" x14ac:dyDescent="0.3">
      <c r="A11" s="24">
        <v>6</v>
      </c>
      <c r="B11" s="24" t="s">
        <v>183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ht="39.6" x14ac:dyDescent="0.3">
      <c r="A12" s="24">
        <v>7</v>
      </c>
      <c r="B12" s="24" t="s">
        <v>183</v>
      </c>
      <c r="C12" s="24"/>
      <c r="D12" s="24"/>
      <c r="E12" s="24"/>
      <c r="F12" s="22"/>
      <c r="G12" s="25"/>
      <c r="H12" s="24" t="str">
        <f t="shared" si="0"/>
        <v/>
      </c>
      <c r="I12" s="26"/>
      <c r="J12" s="27" t="str">
        <f t="shared" si="1"/>
        <v/>
      </c>
      <c r="K12" s="27" t="str">
        <f>IFERROR(J12*Продукт!B7,"")</f>
        <v/>
      </c>
      <c r="L12" s="24"/>
      <c r="M12" s="24"/>
      <c r="N12" s="24"/>
      <c r="O12" s="24"/>
    </row>
    <row r="13" spans="1:15" ht="39.6" x14ac:dyDescent="0.3">
      <c r="A13" s="24">
        <v>8</v>
      </c>
      <c r="B13" s="24" t="s">
        <v>183</v>
      </c>
      <c r="C13" s="24"/>
      <c r="D13" s="24"/>
      <c r="E13" s="24"/>
      <c r="F13" s="22"/>
      <c r="G13" s="25"/>
      <c r="H13" s="24" t="str">
        <f t="shared" si="0"/>
        <v/>
      </c>
      <c r="I13" s="26"/>
      <c r="J13" s="27" t="str">
        <f t="shared" si="1"/>
        <v/>
      </c>
      <c r="K13" s="27" t="str">
        <f>IFERROR(J13*Продукт!B7,"")</f>
        <v/>
      </c>
      <c r="L13" s="24"/>
      <c r="M13" s="24"/>
      <c r="N13" s="24"/>
      <c r="O13" s="24"/>
    </row>
    <row r="14" spans="1:15" ht="39.6" x14ac:dyDescent="0.3">
      <c r="A14" s="24">
        <v>9</v>
      </c>
      <c r="B14" s="24" t="s">
        <v>183</v>
      </c>
      <c r="C14" s="24"/>
      <c r="D14" s="24"/>
      <c r="E14" s="24"/>
      <c r="F14" s="22"/>
      <c r="G14" s="25"/>
      <c r="H14" s="24" t="str">
        <f t="shared" si="0"/>
        <v/>
      </c>
      <c r="I14" s="26"/>
      <c r="J14" s="27" t="str">
        <f t="shared" si="1"/>
        <v/>
      </c>
      <c r="K14" s="27" t="str">
        <f>IFERROR(J14*Продукт!B7,"")</f>
        <v/>
      </c>
      <c r="L14" s="24"/>
      <c r="M14" s="24"/>
      <c r="N14" s="24"/>
      <c r="O14" s="24"/>
    </row>
    <row r="15" spans="1:15" x14ac:dyDescent="0.3">
      <c r="A15" s="4" t="s">
        <v>189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24">
        <v>10</v>
      </c>
      <c r="B16" s="24" t="s">
        <v>189</v>
      </c>
      <c r="C16" s="24" t="s">
        <v>190</v>
      </c>
      <c r="D16" s="24"/>
      <c r="E16" s="24" t="s">
        <v>51</v>
      </c>
      <c r="F16" s="22"/>
      <c r="G16" s="25"/>
      <c r="H16" s="24" t="str">
        <f t="shared" ref="H16:H23" si="2">IF(F16="","",F16*(1+IFERROR(G16,0)))</f>
        <v/>
      </c>
      <c r="I16" s="26"/>
      <c r="J16" s="27" t="str">
        <f t="shared" ref="J16:J23" si="3">IFERROR(H16*I16,"")</f>
        <v/>
      </c>
      <c r="K16" s="27" t="str">
        <f>IFERROR(J16*Продукт!B7,"")</f>
        <v/>
      </c>
      <c r="L16" s="24"/>
      <c r="M16" s="24"/>
      <c r="N16" s="24"/>
      <c r="O16" s="24"/>
    </row>
    <row r="17" spans="1:15" x14ac:dyDescent="0.3">
      <c r="A17" s="24">
        <v>11</v>
      </c>
      <c r="B17" s="24" t="s">
        <v>189</v>
      </c>
      <c r="C17" s="24" t="s">
        <v>191</v>
      </c>
      <c r="D17" s="24"/>
      <c r="E17" s="24" t="s">
        <v>185</v>
      </c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x14ac:dyDescent="0.3">
      <c r="A18" s="24">
        <v>12</v>
      </c>
      <c r="B18" s="24" t="s">
        <v>189</v>
      </c>
      <c r="C18" s="24" t="s">
        <v>192</v>
      </c>
      <c r="D18" s="24"/>
      <c r="E18" s="24" t="s">
        <v>51</v>
      </c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x14ac:dyDescent="0.3">
      <c r="A19" s="24">
        <v>13</v>
      </c>
      <c r="B19" s="24" t="s">
        <v>189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x14ac:dyDescent="0.3">
      <c r="A20" s="24">
        <v>14</v>
      </c>
      <c r="B20" s="24" t="s">
        <v>189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x14ac:dyDescent="0.3">
      <c r="A21" s="24">
        <v>15</v>
      </c>
      <c r="B21" s="24" t="s">
        <v>189</v>
      </c>
      <c r="C21" s="24"/>
      <c r="D21" s="24"/>
      <c r="E21" s="24"/>
      <c r="F21" s="22"/>
      <c r="G21" s="25"/>
      <c r="H21" s="24" t="str">
        <f t="shared" si="2"/>
        <v/>
      </c>
      <c r="I21" s="26"/>
      <c r="J21" s="27" t="str">
        <f t="shared" si="3"/>
        <v/>
      </c>
      <c r="K21" s="27" t="str">
        <f>IFERROR(J21*Продукт!B7,"")</f>
        <v/>
      </c>
      <c r="L21" s="24"/>
      <c r="M21" s="24"/>
      <c r="N21" s="24"/>
      <c r="O21" s="24"/>
    </row>
    <row r="22" spans="1:15" x14ac:dyDescent="0.3">
      <c r="A22" s="24">
        <v>16</v>
      </c>
      <c r="B22" s="24" t="s">
        <v>189</v>
      </c>
      <c r="C22" s="24"/>
      <c r="D22" s="24"/>
      <c r="E22" s="24"/>
      <c r="F22" s="22"/>
      <c r="G22" s="25"/>
      <c r="H22" s="24" t="str">
        <f t="shared" si="2"/>
        <v/>
      </c>
      <c r="I22" s="26"/>
      <c r="J22" s="27" t="str">
        <f t="shared" si="3"/>
        <v/>
      </c>
      <c r="K22" s="27" t="str">
        <f>IFERROR(J22*Продукт!B7,"")</f>
        <v/>
      </c>
      <c r="L22" s="24"/>
      <c r="M22" s="24"/>
      <c r="N22" s="24"/>
      <c r="O22" s="24"/>
    </row>
    <row r="23" spans="1:15" x14ac:dyDescent="0.3">
      <c r="A23" s="24">
        <v>17</v>
      </c>
      <c r="B23" s="24" t="s">
        <v>189</v>
      </c>
      <c r="C23" s="24"/>
      <c r="D23" s="24"/>
      <c r="E23" s="24"/>
      <c r="F23" s="22"/>
      <c r="G23" s="25"/>
      <c r="H23" s="24" t="str">
        <f t="shared" si="2"/>
        <v/>
      </c>
      <c r="I23" s="26"/>
      <c r="J23" s="27" t="str">
        <f t="shared" si="3"/>
        <v/>
      </c>
      <c r="K23" s="27" t="str">
        <f>IFERROR(J23*Продукт!B7,"")</f>
        <v/>
      </c>
      <c r="L23" s="24"/>
      <c r="M23" s="24"/>
      <c r="N23" s="24"/>
      <c r="O23" s="24"/>
    </row>
    <row r="24" spans="1:15" x14ac:dyDescent="0.3">
      <c r="A24" s="4" t="s">
        <v>193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24">
        <v>18</v>
      </c>
      <c r="B25" s="24" t="s">
        <v>193</v>
      </c>
      <c r="C25" s="24" t="s">
        <v>194</v>
      </c>
      <c r="D25" s="24"/>
      <c r="E25" s="24" t="s">
        <v>96</v>
      </c>
      <c r="F25" s="22"/>
      <c r="G25" s="25"/>
      <c r="H25" s="24" t="str">
        <f t="shared" ref="H25:H32" si="4">IF(F25="","",F25*(1+IFERROR(G25,0)))</f>
        <v/>
      </c>
      <c r="I25" s="26"/>
      <c r="J25" s="27" t="str">
        <f t="shared" ref="J25:J32" si="5">IFERROR(H25*I25,"")</f>
        <v/>
      </c>
      <c r="K25" s="27" t="str">
        <f>IFERROR(J25*Продукт!B7,"")</f>
        <v/>
      </c>
      <c r="L25" s="24"/>
      <c r="M25" s="24"/>
      <c r="N25" s="24"/>
      <c r="O25" s="24"/>
    </row>
    <row r="26" spans="1:15" x14ac:dyDescent="0.3">
      <c r="A26" s="24">
        <v>19</v>
      </c>
      <c r="B26" s="24" t="s">
        <v>193</v>
      </c>
      <c r="C26" s="24" t="s">
        <v>195</v>
      </c>
      <c r="D26" s="24"/>
      <c r="E26" s="24" t="s">
        <v>96</v>
      </c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x14ac:dyDescent="0.3">
      <c r="A27" s="24">
        <v>20</v>
      </c>
      <c r="B27" s="24" t="s">
        <v>193</v>
      </c>
      <c r="C27" s="24" t="s">
        <v>196</v>
      </c>
      <c r="D27" s="24"/>
      <c r="E27" s="24" t="s">
        <v>51</v>
      </c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x14ac:dyDescent="0.3">
      <c r="A28" s="24">
        <v>21</v>
      </c>
      <c r="B28" s="24" t="s">
        <v>193</v>
      </c>
      <c r="C28" s="24"/>
      <c r="D28" s="24"/>
      <c r="E28" s="24"/>
      <c r="F28" s="22"/>
      <c r="G28" s="25"/>
      <c r="H28" s="24" t="str">
        <f t="shared" si="4"/>
        <v/>
      </c>
      <c r="I28" s="26"/>
      <c r="J28" s="27" t="str">
        <f t="shared" si="5"/>
        <v/>
      </c>
      <c r="K28" s="27" t="str">
        <f>IFERROR(J28*Продукт!B7,"")</f>
        <v/>
      </c>
      <c r="L28" s="24"/>
      <c r="M28" s="24"/>
      <c r="N28" s="24"/>
      <c r="O28" s="24"/>
    </row>
    <row r="29" spans="1:15" x14ac:dyDescent="0.3">
      <c r="A29" s="24">
        <v>22</v>
      </c>
      <c r="B29" s="24" t="s">
        <v>193</v>
      </c>
      <c r="C29" s="24"/>
      <c r="D29" s="24"/>
      <c r="E29" s="24"/>
      <c r="F29" s="22"/>
      <c r="G29" s="25"/>
      <c r="H29" s="24" t="str">
        <f t="shared" si="4"/>
        <v/>
      </c>
      <c r="I29" s="26"/>
      <c r="J29" s="27" t="str">
        <f t="shared" si="5"/>
        <v/>
      </c>
      <c r="K29" s="27" t="str">
        <f>IFERROR(J29*Продукт!B7,"")</f>
        <v/>
      </c>
      <c r="L29" s="24"/>
      <c r="M29" s="24"/>
      <c r="N29" s="24"/>
      <c r="O29" s="24"/>
    </row>
    <row r="30" spans="1:15" x14ac:dyDescent="0.3">
      <c r="A30" s="24">
        <v>23</v>
      </c>
      <c r="B30" s="24" t="s">
        <v>193</v>
      </c>
      <c r="C30" s="24"/>
      <c r="D30" s="24"/>
      <c r="E30" s="24"/>
      <c r="F30" s="22"/>
      <c r="G30" s="25"/>
      <c r="H30" s="24" t="str">
        <f t="shared" si="4"/>
        <v/>
      </c>
      <c r="I30" s="26"/>
      <c r="J30" s="27" t="str">
        <f t="shared" si="5"/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24">
        <v>24</v>
      </c>
      <c r="B31" s="24" t="s">
        <v>193</v>
      </c>
      <c r="C31" s="24"/>
      <c r="D31" s="24"/>
      <c r="E31" s="24"/>
      <c r="F31" s="22"/>
      <c r="G31" s="25"/>
      <c r="H31" s="24" t="str">
        <f t="shared" si="4"/>
        <v/>
      </c>
      <c r="I31" s="26"/>
      <c r="J31" s="27" t="str">
        <f t="shared" si="5"/>
        <v/>
      </c>
      <c r="K31" s="27" t="str">
        <f>IFERROR(J31*Продукт!B7,"")</f>
        <v/>
      </c>
      <c r="L31" s="24"/>
      <c r="M31" s="24"/>
      <c r="N31" s="24"/>
      <c r="O31" s="24"/>
    </row>
    <row r="32" spans="1:15" x14ac:dyDescent="0.3">
      <c r="A32" s="24">
        <v>25</v>
      </c>
      <c r="B32" s="24" t="s">
        <v>193</v>
      </c>
      <c r="C32" s="24"/>
      <c r="D32" s="24"/>
      <c r="E32" s="24"/>
      <c r="F32" s="22"/>
      <c r="G32" s="25"/>
      <c r="H32" s="24" t="str">
        <f t="shared" si="4"/>
        <v/>
      </c>
      <c r="I32" s="26"/>
      <c r="J32" s="27" t="str">
        <f t="shared" si="5"/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3" t="s">
        <v>89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">
      <c r="A34" s="24">
        <v>26</v>
      </c>
      <c r="B34" s="24"/>
      <c r="C34" s="24"/>
      <c r="D34" s="24"/>
      <c r="E34" s="24"/>
      <c r="F34" s="22"/>
      <c r="G34" s="25"/>
      <c r="H34" s="24" t="str">
        <f>IF(F34="","",F34*(1+IFERROR(G34,0)))</f>
        <v/>
      </c>
      <c r="I34" s="26"/>
      <c r="J34" s="27" t="str">
        <f>IFERROR(H34*I34,"")</f>
        <v/>
      </c>
      <c r="K34" s="27" t="str">
        <f>IFERROR(J34*Продукт!B7,"")</f>
        <v/>
      </c>
      <c r="L34" s="24"/>
      <c r="M34" s="24"/>
      <c r="N34" s="24"/>
      <c r="O34" s="24"/>
    </row>
    <row r="35" spans="1:15" x14ac:dyDescent="0.3">
      <c r="A35" s="24">
        <v>27</v>
      </c>
      <c r="B35" s="24"/>
      <c r="C35" s="24"/>
      <c r="D35" s="24"/>
      <c r="E35" s="24"/>
      <c r="F35" s="22"/>
      <c r="G35" s="25"/>
      <c r="H35" s="24" t="str">
        <f>IF(F35="","",F35*(1+IFERROR(G35,0)))</f>
        <v/>
      </c>
      <c r="I35" s="26"/>
      <c r="J35" s="27" t="str">
        <f>IFERROR(H35*I35,"")</f>
        <v/>
      </c>
      <c r="K35" s="27" t="str">
        <f>IFERROR(J35*Продукт!B7,"")</f>
        <v/>
      </c>
      <c r="L35" s="24"/>
      <c r="M35" s="24"/>
      <c r="N35" s="24"/>
      <c r="O35" s="24"/>
    </row>
    <row r="36" spans="1:15" x14ac:dyDescent="0.3">
      <c r="A36" s="24">
        <v>28</v>
      </c>
      <c r="B36" s="24"/>
      <c r="C36" s="24"/>
      <c r="D36" s="24"/>
      <c r="E36" s="24"/>
      <c r="F36" s="22"/>
      <c r="G36" s="25"/>
      <c r="H36" s="24" t="str">
        <f>IF(F36="","",F36*(1+IFERROR(G36,0)))</f>
        <v/>
      </c>
      <c r="I36" s="26"/>
      <c r="J36" s="27" t="str">
        <f>IFERROR(H36*I36,"")</f>
        <v/>
      </c>
      <c r="K36" s="27" t="str">
        <f>IFERROR(J36*Продукт!B7,"")</f>
        <v/>
      </c>
      <c r="L36" s="24"/>
      <c r="M36" s="24"/>
      <c r="N36" s="24"/>
      <c r="O36" s="24"/>
    </row>
    <row r="37" spans="1:15" x14ac:dyDescent="0.3">
      <c r="A37" s="24">
        <v>29</v>
      </c>
      <c r="B37" s="24"/>
      <c r="C37" s="24"/>
      <c r="D37" s="24"/>
      <c r="E37" s="24"/>
      <c r="F37" s="22"/>
      <c r="G37" s="25"/>
      <c r="H37" s="24" t="str">
        <f>IF(F37="","",F37*(1+IFERROR(G37,0)))</f>
        <v/>
      </c>
      <c r="I37" s="26"/>
      <c r="J37" s="27" t="str">
        <f>IFERROR(H37*I37,"")</f>
        <v/>
      </c>
      <c r="K37" s="27" t="str">
        <f>IFERROR(J37*Продукт!B7,"")</f>
        <v/>
      </c>
      <c r="L37" s="24"/>
      <c r="M37" s="24"/>
      <c r="N37" s="24"/>
      <c r="O37" s="24"/>
    </row>
    <row r="38" spans="1:15" x14ac:dyDescent="0.3">
      <c r="A38" s="24">
        <v>30</v>
      </c>
      <c r="B38" s="24"/>
      <c r="C38" s="24"/>
      <c r="D38" s="24"/>
      <c r="E38" s="24"/>
      <c r="F38" s="22"/>
      <c r="G38" s="25"/>
      <c r="H38" s="24" t="str">
        <f>IF(F38="","",F38*(1+IFERROR(G38,0)))</f>
        <v/>
      </c>
      <c r="I38" s="26"/>
      <c r="J38" s="27" t="str">
        <f>IFERROR(H38*I38,"")</f>
        <v/>
      </c>
      <c r="K38" s="27" t="str">
        <f>IFERROR(J38*Продукт!B7,"")</f>
        <v/>
      </c>
      <c r="L38" s="24"/>
      <c r="M38" s="24"/>
      <c r="N38" s="24"/>
      <c r="O38" s="24"/>
    </row>
    <row r="40" spans="1:15" x14ac:dyDescent="0.3">
      <c r="A40" s="2" t="s">
        <v>90</v>
      </c>
      <c r="B40" s="2"/>
      <c r="C40" s="2"/>
      <c r="D40" s="2"/>
      <c r="E40" s="2"/>
      <c r="F40" s="2"/>
      <c r="G40" s="2"/>
      <c r="H40" s="2"/>
      <c r="I40" s="2"/>
      <c r="J40" s="28">
        <f>SUMIF(J5:J38,"&gt;0")</f>
        <v>0</v>
      </c>
      <c r="K40" s="28">
        <f>SUMIF(K5:K38,"&gt;0")</f>
        <v>0</v>
      </c>
      <c r="L40" s="29"/>
      <c r="M40" s="29"/>
      <c r="N40" s="29"/>
      <c r="O40" s="29"/>
    </row>
  </sheetData>
  <mergeCells count="7">
    <mergeCell ref="A33:O33"/>
    <mergeCell ref="A40:I40"/>
    <mergeCell ref="A1:O1"/>
    <mergeCell ref="A2:O2"/>
    <mergeCell ref="A5:O5"/>
    <mergeCell ref="A15:O15"/>
    <mergeCell ref="A24:O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4.4" x14ac:dyDescent="0.3"/>
  <cols>
    <col min="1" max="1" width="5" customWidth="1"/>
    <col min="2" max="2" width="22" customWidth="1"/>
    <col min="3" max="3" width="32" customWidth="1"/>
    <col min="4" max="4" width="14" customWidth="1"/>
    <col min="5" max="5" width="10" customWidth="1"/>
    <col min="6" max="6" width="15" customWidth="1"/>
    <col min="7" max="7" width="11" customWidth="1"/>
    <col min="8" max="9" width="14" customWidth="1"/>
    <col min="10" max="10" width="15" customWidth="1"/>
    <col min="11" max="11" width="17" customWidth="1"/>
    <col min="12" max="12" width="20" customWidth="1"/>
    <col min="13" max="13" width="11" customWidth="1"/>
    <col min="14" max="14" width="13" customWidth="1"/>
    <col min="15" max="15" width="28" customWidth="1"/>
  </cols>
  <sheetData>
    <row r="1" spans="1:15" ht="27.75" customHeight="1" x14ac:dyDescent="0.4">
      <c r="A1" s="10" t="s">
        <v>197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45" customHeight="1" x14ac:dyDescent="0.3">
      <c r="A4" s="20" t="s">
        <v>60</v>
      </c>
      <c r="B4" s="20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0" t="s">
        <v>67</v>
      </c>
      <c r="I4" s="20" t="s">
        <v>68</v>
      </c>
      <c r="J4" s="20" t="s">
        <v>69</v>
      </c>
      <c r="K4" s="20" t="s">
        <v>70</v>
      </c>
      <c r="L4" s="20" t="s">
        <v>71</v>
      </c>
      <c r="M4" s="20" t="s">
        <v>72</v>
      </c>
      <c r="N4" s="20" t="s">
        <v>73</v>
      </c>
      <c r="O4" s="20" t="s">
        <v>74</v>
      </c>
    </row>
    <row r="5" spans="1:15" x14ac:dyDescent="0.3">
      <c r="A5" s="4" t="s">
        <v>198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9.6" x14ac:dyDescent="0.3">
      <c r="A6" s="24">
        <v>1</v>
      </c>
      <c r="B6" s="24" t="s">
        <v>198</v>
      </c>
      <c r="C6" s="24" t="s">
        <v>199</v>
      </c>
      <c r="D6" s="24"/>
      <c r="E6" s="24" t="s">
        <v>51</v>
      </c>
      <c r="F6" s="22"/>
      <c r="G6" s="25"/>
      <c r="H6" s="24" t="str">
        <f t="shared" ref="H6:H12" si="0">IF(F6="","",F6*(1+IFERROR(G6,0)))</f>
        <v/>
      </c>
      <c r="I6" s="26"/>
      <c r="J6" s="27" t="str">
        <f t="shared" ref="J6:J12" si="1">IFERROR(H6*I6,"")</f>
        <v/>
      </c>
      <c r="K6" s="27" t="str">
        <f>IFERROR(J6*Продукт!B7,"")</f>
        <v/>
      </c>
      <c r="L6" s="24"/>
      <c r="M6" s="24"/>
      <c r="N6" s="24"/>
      <c r="O6" s="24"/>
    </row>
    <row r="7" spans="1:15" ht="39.6" x14ac:dyDescent="0.3">
      <c r="A7" s="24">
        <v>2</v>
      </c>
      <c r="B7" s="24" t="s">
        <v>198</v>
      </c>
      <c r="C7" s="24" t="s">
        <v>200</v>
      </c>
      <c r="D7" s="24"/>
      <c r="E7" s="24" t="s">
        <v>51</v>
      </c>
      <c r="F7" s="22"/>
      <c r="G7" s="25"/>
      <c r="H7" s="24" t="str">
        <f t="shared" si="0"/>
        <v/>
      </c>
      <c r="I7" s="26"/>
      <c r="J7" s="27" t="str">
        <f t="shared" si="1"/>
        <v/>
      </c>
      <c r="K7" s="27" t="str">
        <f>IFERROR(J7*Продукт!B7,"")</f>
        <v/>
      </c>
      <c r="L7" s="24"/>
      <c r="M7" s="24"/>
      <c r="N7" s="24"/>
      <c r="O7" s="24"/>
    </row>
    <row r="8" spans="1:15" ht="39.6" x14ac:dyDescent="0.3">
      <c r="A8" s="24">
        <v>3</v>
      </c>
      <c r="B8" s="24" t="s">
        <v>198</v>
      </c>
      <c r="C8" s="24"/>
      <c r="D8" s="24"/>
      <c r="E8" s="24"/>
      <c r="F8" s="22"/>
      <c r="G8" s="25"/>
      <c r="H8" s="24" t="str">
        <f t="shared" si="0"/>
        <v/>
      </c>
      <c r="I8" s="26"/>
      <c r="J8" s="27" t="str">
        <f t="shared" si="1"/>
        <v/>
      </c>
      <c r="K8" s="27" t="str">
        <f>IFERROR(J8*Продукт!B7,"")</f>
        <v/>
      </c>
      <c r="L8" s="24"/>
      <c r="M8" s="24"/>
      <c r="N8" s="24"/>
      <c r="O8" s="24"/>
    </row>
    <row r="9" spans="1:15" ht="39.6" x14ac:dyDescent="0.3">
      <c r="A9" s="24">
        <v>4</v>
      </c>
      <c r="B9" s="24" t="s">
        <v>198</v>
      </c>
      <c r="C9" s="24"/>
      <c r="D9" s="24"/>
      <c r="E9" s="24"/>
      <c r="F9" s="22"/>
      <c r="G9" s="25"/>
      <c r="H9" s="24" t="str">
        <f t="shared" si="0"/>
        <v/>
      </c>
      <c r="I9" s="26"/>
      <c r="J9" s="27" t="str">
        <f t="shared" si="1"/>
        <v/>
      </c>
      <c r="K9" s="27" t="str">
        <f>IFERROR(J9*Продукт!B7,"")</f>
        <v/>
      </c>
      <c r="L9" s="24"/>
      <c r="M9" s="24"/>
      <c r="N9" s="24"/>
      <c r="O9" s="24"/>
    </row>
    <row r="10" spans="1:15" ht="39.6" x14ac:dyDescent="0.3">
      <c r="A10" s="24">
        <v>5</v>
      </c>
      <c r="B10" s="24" t="s">
        <v>198</v>
      </c>
      <c r="C10" s="24"/>
      <c r="D10" s="24"/>
      <c r="E10" s="24"/>
      <c r="F10" s="22"/>
      <c r="G10" s="25"/>
      <c r="H10" s="24" t="str">
        <f t="shared" si="0"/>
        <v/>
      </c>
      <c r="I10" s="26"/>
      <c r="J10" s="27" t="str">
        <f t="shared" si="1"/>
        <v/>
      </c>
      <c r="K10" s="27" t="str">
        <f>IFERROR(J10*Продукт!B7,"")</f>
        <v/>
      </c>
      <c r="L10" s="24"/>
      <c r="M10" s="24"/>
      <c r="N10" s="24"/>
      <c r="O10" s="24"/>
    </row>
    <row r="11" spans="1:15" ht="39.6" x14ac:dyDescent="0.3">
      <c r="A11" s="24">
        <v>6</v>
      </c>
      <c r="B11" s="24" t="s">
        <v>198</v>
      </c>
      <c r="C11" s="24"/>
      <c r="D11" s="24"/>
      <c r="E11" s="24"/>
      <c r="F11" s="22"/>
      <c r="G11" s="25"/>
      <c r="H11" s="24" t="str">
        <f t="shared" si="0"/>
        <v/>
      </c>
      <c r="I11" s="26"/>
      <c r="J11" s="27" t="str">
        <f t="shared" si="1"/>
        <v/>
      </c>
      <c r="K11" s="27" t="str">
        <f>IFERROR(J11*Продукт!B7,"")</f>
        <v/>
      </c>
      <c r="L11" s="24"/>
      <c r="M11" s="24"/>
      <c r="N11" s="24"/>
      <c r="O11" s="24"/>
    </row>
    <row r="12" spans="1:15" ht="39.6" x14ac:dyDescent="0.3">
      <c r="A12" s="24">
        <v>7</v>
      </c>
      <c r="B12" s="24" t="s">
        <v>198</v>
      </c>
      <c r="C12" s="24"/>
      <c r="D12" s="24"/>
      <c r="E12" s="24"/>
      <c r="F12" s="22"/>
      <c r="G12" s="25"/>
      <c r="H12" s="24" t="str">
        <f t="shared" si="0"/>
        <v/>
      </c>
      <c r="I12" s="26"/>
      <c r="J12" s="27" t="str">
        <f t="shared" si="1"/>
        <v/>
      </c>
      <c r="K12" s="27" t="str">
        <f>IFERROR(J12*Продукт!B7,"")</f>
        <v/>
      </c>
      <c r="L12" s="24"/>
      <c r="M12" s="24"/>
      <c r="N12" s="24"/>
      <c r="O12" s="24"/>
    </row>
    <row r="13" spans="1:15" x14ac:dyDescent="0.3">
      <c r="A13" s="4" t="s">
        <v>201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24">
        <v>8</v>
      </c>
      <c r="B14" s="24" t="s">
        <v>201</v>
      </c>
      <c r="C14" s="24" t="s">
        <v>202</v>
      </c>
      <c r="D14" s="24"/>
      <c r="E14" s="24" t="s">
        <v>203</v>
      </c>
      <c r="F14" s="22"/>
      <c r="G14" s="25"/>
      <c r="H14" s="24" t="str">
        <f t="shared" ref="H14:H20" si="2">IF(F14="","",F14*(1+IFERROR(G14,0)))</f>
        <v/>
      </c>
      <c r="I14" s="26"/>
      <c r="J14" s="27" t="str">
        <f t="shared" ref="J14:J20" si="3">IFERROR(H14*I14,"")</f>
        <v/>
      </c>
      <c r="K14" s="27" t="str">
        <f>IFERROR(J14*Продукт!B7,"")</f>
        <v/>
      </c>
      <c r="L14" s="24"/>
      <c r="M14" s="24"/>
      <c r="N14" s="24"/>
      <c r="O14" s="24"/>
    </row>
    <row r="15" spans="1:15" x14ac:dyDescent="0.3">
      <c r="A15" s="24">
        <v>9</v>
      </c>
      <c r="B15" s="24" t="s">
        <v>201</v>
      </c>
      <c r="C15" s="24" t="s">
        <v>204</v>
      </c>
      <c r="D15" s="24"/>
      <c r="E15" s="24" t="s">
        <v>51</v>
      </c>
      <c r="F15" s="22"/>
      <c r="G15" s="25"/>
      <c r="H15" s="24" t="str">
        <f t="shared" si="2"/>
        <v/>
      </c>
      <c r="I15" s="26"/>
      <c r="J15" s="27" t="str">
        <f t="shared" si="3"/>
        <v/>
      </c>
      <c r="K15" s="27" t="str">
        <f>IFERROR(J15*Продукт!B7,"")</f>
        <v/>
      </c>
      <c r="L15" s="24"/>
      <c r="M15" s="24"/>
      <c r="N15" s="24"/>
      <c r="O15" s="24"/>
    </row>
    <row r="16" spans="1:15" x14ac:dyDescent="0.3">
      <c r="A16" s="24">
        <v>10</v>
      </c>
      <c r="B16" s="24" t="s">
        <v>201</v>
      </c>
      <c r="C16" s="24"/>
      <c r="D16" s="24"/>
      <c r="E16" s="24"/>
      <c r="F16" s="22"/>
      <c r="G16" s="25"/>
      <c r="H16" s="24" t="str">
        <f t="shared" si="2"/>
        <v/>
      </c>
      <c r="I16" s="26"/>
      <c r="J16" s="27" t="str">
        <f t="shared" si="3"/>
        <v/>
      </c>
      <c r="K16" s="27" t="str">
        <f>IFERROR(J16*Продукт!B7,"")</f>
        <v/>
      </c>
      <c r="L16" s="24"/>
      <c r="M16" s="24"/>
      <c r="N16" s="24"/>
      <c r="O16" s="24"/>
    </row>
    <row r="17" spans="1:15" x14ac:dyDescent="0.3">
      <c r="A17" s="24">
        <v>11</v>
      </c>
      <c r="B17" s="24" t="s">
        <v>201</v>
      </c>
      <c r="C17" s="24"/>
      <c r="D17" s="24"/>
      <c r="E17" s="24"/>
      <c r="F17" s="22"/>
      <c r="G17" s="25"/>
      <c r="H17" s="24" t="str">
        <f t="shared" si="2"/>
        <v/>
      </c>
      <c r="I17" s="26"/>
      <c r="J17" s="27" t="str">
        <f t="shared" si="3"/>
        <v/>
      </c>
      <c r="K17" s="27" t="str">
        <f>IFERROR(J17*Продукт!B7,"")</f>
        <v/>
      </c>
      <c r="L17" s="24"/>
      <c r="M17" s="24"/>
      <c r="N17" s="24"/>
      <c r="O17" s="24"/>
    </row>
    <row r="18" spans="1:15" x14ac:dyDescent="0.3">
      <c r="A18" s="24">
        <v>12</v>
      </c>
      <c r="B18" s="24" t="s">
        <v>201</v>
      </c>
      <c r="C18" s="24"/>
      <c r="D18" s="24"/>
      <c r="E18" s="24"/>
      <c r="F18" s="22"/>
      <c r="G18" s="25"/>
      <c r="H18" s="24" t="str">
        <f t="shared" si="2"/>
        <v/>
      </c>
      <c r="I18" s="26"/>
      <c r="J18" s="27" t="str">
        <f t="shared" si="3"/>
        <v/>
      </c>
      <c r="K18" s="27" t="str">
        <f>IFERROR(J18*Продукт!B7,"")</f>
        <v/>
      </c>
      <c r="L18" s="24"/>
      <c r="M18" s="24"/>
      <c r="N18" s="24"/>
      <c r="O18" s="24"/>
    </row>
    <row r="19" spans="1:15" x14ac:dyDescent="0.3">
      <c r="A19" s="24">
        <v>13</v>
      </c>
      <c r="B19" s="24" t="s">
        <v>201</v>
      </c>
      <c r="C19" s="24"/>
      <c r="D19" s="24"/>
      <c r="E19" s="24"/>
      <c r="F19" s="22"/>
      <c r="G19" s="25"/>
      <c r="H19" s="24" t="str">
        <f t="shared" si="2"/>
        <v/>
      </c>
      <c r="I19" s="26"/>
      <c r="J19" s="27" t="str">
        <f t="shared" si="3"/>
        <v/>
      </c>
      <c r="K19" s="27" t="str">
        <f>IFERROR(J19*Продукт!B7,"")</f>
        <v/>
      </c>
      <c r="L19" s="24"/>
      <c r="M19" s="24"/>
      <c r="N19" s="24"/>
      <c r="O19" s="24"/>
    </row>
    <row r="20" spans="1:15" x14ac:dyDescent="0.3">
      <c r="A20" s="24">
        <v>14</v>
      </c>
      <c r="B20" s="24" t="s">
        <v>201</v>
      </c>
      <c r="C20" s="24"/>
      <c r="D20" s="24"/>
      <c r="E20" s="24"/>
      <c r="F20" s="22"/>
      <c r="G20" s="25"/>
      <c r="H20" s="24" t="str">
        <f t="shared" si="2"/>
        <v/>
      </c>
      <c r="I20" s="26"/>
      <c r="J20" s="27" t="str">
        <f t="shared" si="3"/>
        <v/>
      </c>
      <c r="K20" s="27" t="str">
        <f>IFERROR(J20*Продукт!B7,"")</f>
        <v/>
      </c>
      <c r="L20" s="24"/>
      <c r="M20" s="24"/>
      <c r="N20" s="24"/>
      <c r="O20" s="24"/>
    </row>
    <row r="21" spans="1:15" x14ac:dyDescent="0.3">
      <c r="A21" s="4" t="s">
        <v>205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3">
      <c r="A22" s="24">
        <v>15</v>
      </c>
      <c r="B22" s="24" t="s">
        <v>205</v>
      </c>
      <c r="C22" s="24" t="s">
        <v>206</v>
      </c>
      <c r="D22" s="24"/>
      <c r="E22" s="24"/>
      <c r="F22" s="22"/>
      <c r="G22" s="25"/>
      <c r="H22" s="24" t="str">
        <f t="shared" ref="H22:H27" si="4">IF(F22="","",F22*(1+IFERROR(G22,0)))</f>
        <v/>
      </c>
      <c r="I22" s="26"/>
      <c r="J22" s="27" t="str">
        <f t="shared" ref="J22:J27" si="5">IFERROR(H22*I22,"")</f>
        <v/>
      </c>
      <c r="K22" s="27" t="str">
        <f>IFERROR(J22*Продукт!B7,"")</f>
        <v/>
      </c>
      <c r="L22" s="24"/>
      <c r="M22" s="24"/>
      <c r="N22" s="24"/>
      <c r="O22" s="24"/>
    </row>
    <row r="23" spans="1:15" x14ac:dyDescent="0.3">
      <c r="A23" s="24">
        <v>16</v>
      </c>
      <c r="B23" s="24" t="s">
        <v>205</v>
      </c>
      <c r="C23" s="24"/>
      <c r="D23" s="24"/>
      <c r="E23" s="24"/>
      <c r="F23" s="22"/>
      <c r="G23" s="25"/>
      <c r="H23" s="24" t="str">
        <f t="shared" si="4"/>
        <v/>
      </c>
      <c r="I23" s="26"/>
      <c r="J23" s="27" t="str">
        <f t="shared" si="5"/>
        <v/>
      </c>
      <c r="K23" s="27" t="str">
        <f>IFERROR(J23*Продукт!B7,"")</f>
        <v/>
      </c>
      <c r="L23" s="24"/>
      <c r="M23" s="24"/>
      <c r="N23" s="24"/>
      <c r="O23" s="24"/>
    </row>
    <row r="24" spans="1:15" x14ac:dyDescent="0.3">
      <c r="A24" s="24">
        <v>17</v>
      </c>
      <c r="B24" s="24" t="s">
        <v>205</v>
      </c>
      <c r="C24" s="24"/>
      <c r="D24" s="24"/>
      <c r="E24" s="24"/>
      <c r="F24" s="22"/>
      <c r="G24" s="25"/>
      <c r="H24" s="24" t="str">
        <f t="shared" si="4"/>
        <v/>
      </c>
      <c r="I24" s="26"/>
      <c r="J24" s="27" t="str">
        <f t="shared" si="5"/>
        <v/>
      </c>
      <c r="K24" s="27" t="str">
        <f>IFERROR(J24*Продукт!B7,"")</f>
        <v/>
      </c>
      <c r="L24" s="24"/>
      <c r="M24" s="24"/>
      <c r="N24" s="24"/>
      <c r="O24" s="24"/>
    </row>
    <row r="25" spans="1:15" x14ac:dyDescent="0.3">
      <c r="A25" s="24">
        <v>18</v>
      </c>
      <c r="B25" s="24" t="s">
        <v>205</v>
      </c>
      <c r="C25" s="24"/>
      <c r="D25" s="24"/>
      <c r="E25" s="24"/>
      <c r="F25" s="22"/>
      <c r="G25" s="25"/>
      <c r="H25" s="24" t="str">
        <f t="shared" si="4"/>
        <v/>
      </c>
      <c r="I25" s="26"/>
      <c r="J25" s="27" t="str">
        <f t="shared" si="5"/>
        <v/>
      </c>
      <c r="K25" s="27" t="str">
        <f>IFERROR(J25*Продукт!B7,"")</f>
        <v/>
      </c>
      <c r="L25" s="24"/>
      <c r="M25" s="24"/>
      <c r="N25" s="24"/>
      <c r="O25" s="24"/>
    </row>
    <row r="26" spans="1:15" x14ac:dyDescent="0.3">
      <c r="A26" s="24">
        <v>19</v>
      </c>
      <c r="B26" s="24" t="s">
        <v>205</v>
      </c>
      <c r="C26" s="24"/>
      <c r="D26" s="24"/>
      <c r="E26" s="24"/>
      <c r="F26" s="22"/>
      <c r="G26" s="25"/>
      <c r="H26" s="24" t="str">
        <f t="shared" si="4"/>
        <v/>
      </c>
      <c r="I26" s="26"/>
      <c r="J26" s="27" t="str">
        <f t="shared" si="5"/>
        <v/>
      </c>
      <c r="K26" s="27" t="str">
        <f>IFERROR(J26*Продукт!B7,"")</f>
        <v/>
      </c>
      <c r="L26" s="24"/>
      <c r="M26" s="24"/>
      <c r="N26" s="24"/>
      <c r="O26" s="24"/>
    </row>
    <row r="27" spans="1:15" x14ac:dyDescent="0.3">
      <c r="A27" s="24">
        <v>20</v>
      </c>
      <c r="B27" s="24" t="s">
        <v>205</v>
      </c>
      <c r="C27" s="24"/>
      <c r="D27" s="24"/>
      <c r="E27" s="24"/>
      <c r="F27" s="22"/>
      <c r="G27" s="25"/>
      <c r="H27" s="24" t="str">
        <f t="shared" si="4"/>
        <v/>
      </c>
      <c r="I27" s="26"/>
      <c r="J27" s="27" t="str">
        <f t="shared" si="5"/>
        <v/>
      </c>
      <c r="K27" s="27" t="str">
        <f>IFERROR(J27*Продукт!B7,"")</f>
        <v/>
      </c>
      <c r="L27" s="24"/>
      <c r="M27" s="24"/>
      <c r="N27" s="24"/>
      <c r="O27" s="24"/>
    </row>
    <row r="28" spans="1:15" x14ac:dyDescent="0.3">
      <c r="A28" s="3" t="s">
        <v>89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">
      <c r="A29" s="24">
        <v>21</v>
      </c>
      <c r="B29" s="24"/>
      <c r="C29" s="24"/>
      <c r="D29" s="24"/>
      <c r="E29" s="24"/>
      <c r="F29" s="22"/>
      <c r="G29" s="25"/>
      <c r="H29" s="24" t="str">
        <f>IF(F29="","",F29*(1+IFERROR(G29,0)))</f>
        <v/>
      </c>
      <c r="I29" s="26"/>
      <c r="J29" s="27" t="str">
        <f>IFERROR(H29*I29,"")</f>
        <v/>
      </c>
      <c r="K29" s="27" t="str">
        <f>IFERROR(J29*Продукт!B7,"")</f>
        <v/>
      </c>
      <c r="L29" s="24"/>
      <c r="M29" s="24"/>
      <c r="N29" s="24"/>
      <c r="O29" s="24"/>
    </row>
    <row r="30" spans="1:15" x14ac:dyDescent="0.3">
      <c r="A30" s="24">
        <v>22</v>
      </c>
      <c r="B30" s="24"/>
      <c r="C30" s="24"/>
      <c r="D30" s="24"/>
      <c r="E30" s="24"/>
      <c r="F30" s="22"/>
      <c r="G30" s="25"/>
      <c r="H30" s="24" t="str">
        <f>IF(F30="","",F30*(1+IFERROR(G30,0)))</f>
        <v/>
      </c>
      <c r="I30" s="26"/>
      <c r="J30" s="27" t="str">
        <f>IFERROR(H30*I30,"")</f>
        <v/>
      </c>
      <c r="K30" s="27" t="str">
        <f>IFERROR(J30*Продукт!B7,"")</f>
        <v/>
      </c>
      <c r="L30" s="24"/>
      <c r="M30" s="24"/>
      <c r="N30" s="24"/>
      <c r="O30" s="24"/>
    </row>
    <row r="31" spans="1:15" x14ac:dyDescent="0.3">
      <c r="A31" s="24">
        <v>23</v>
      </c>
      <c r="B31" s="24"/>
      <c r="C31" s="24"/>
      <c r="D31" s="24"/>
      <c r="E31" s="24"/>
      <c r="F31" s="22"/>
      <c r="G31" s="25"/>
      <c r="H31" s="24" t="str">
        <f>IF(F31="","",F31*(1+IFERROR(G31,0)))</f>
        <v/>
      </c>
      <c r="I31" s="26"/>
      <c r="J31" s="27" t="str">
        <f>IFERROR(H31*I31,"")</f>
        <v/>
      </c>
      <c r="K31" s="27" t="str">
        <f>IFERROR(J31*Продукт!B7,"")</f>
        <v/>
      </c>
      <c r="L31" s="24"/>
      <c r="M31" s="24"/>
      <c r="N31" s="24"/>
      <c r="O31" s="24"/>
    </row>
    <row r="32" spans="1:15" x14ac:dyDescent="0.3">
      <c r="A32" s="24">
        <v>24</v>
      </c>
      <c r="B32" s="24"/>
      <c r="C32" s="24"/>
      <c r="D32" s="24"/>
      <c r="E32" s="24"/>
      <c r="F32" s="22"/>
      <c r="G32" s="25"/>
      <c r="H32" s="24" t="str">
        <f>IF(F32="","",F32*(1+IFERROR(G32,0)))</f>
        <v/>
      </c>
      <c r="I32" s="26"/>
      <c r="J32" s="27" t="str">
        <f>IFERROR(H32*I32,"")</f>
        <v/>
      </c>
      <c r="K32" s="27" t="str">
        <f>IFERROR(J32*Продукт!B7,"")</f>
        <v/>
      </c>
      <c r="L32" s="24"/>
      <c r="M32" s="24"/>
      <c r="N32" s="24"/>
      <c r="O32" s="24"/>
    </row>
    <row r="33" spans="1:15" x14ac:dyDescent="0.3">
      <c r="A33" s="24">
        <v>25</v>
      </c>
      <c r="B33" s="24"/>
      <c r="C33" s="24"/>
      <c r="D33" s="24"/>
      <c r="E33" s="24"/>
      <c r="F33" s="22"/>
      <c r="G33" s="25"/>
      <c r="H33" s="24" t="str">
        <f>IF(F33="","",F33*(1+IFERROR(G33,0)))</f>
        <v/>
      </c>
      <c r="I33" s="26"/>
      <c r="J33" s="27" t="str">
        <f>IFERROR(H33*I33,"")</f>
        <v/>
      </c>
      <c r="K33" s="27" t="str">
        <f>IFERROR(J33*Продукт!B7,"")</f>
        <v/>
      </c>
      <c r="L33" s="24"/>
      <c r="M33" s="24"/>
      <c r="N33" s="24"/>
      <c r="O33" s="24"/>
    </row>
    <row r="35" spans="1:15" x14ac:dyDescent="0.3">
      <c r="A35" s="2" t="s">
        <v>90</v>
      </c>
      <c r="B35" s="2"/>
      <c r="C35" s="2"/>
      <c r="D35" s="2"/>
      <c r="E35" s="2"/>
      <c r="F35" s="2"/>
      <c r="G35" s="2"/>
      <c r="H35" s="2"/>
      <c r="I35" s="2"/>
      <c r="J35" s="28">
        <f>SUMIF(J5:J33,"&gt;0")</f>
        <v>0</v>
      </c>
      <c r="K35" s="28">
        <f>SUMIF(K5:K33,"&gt;0")</f>
        <v>0</v>
      </c>
      <c r="L35" s="29"/>
      <c r="M35" s="29"/>
      <c r="N35" s="29"/>
      <c r="O35" s="29"/>
    </row>
  </sheetData>
  <mergeCells count="7">
    <mergeCell ref="A28:O28"/>
    <mergeCell ref="A35:I35"/>
    <mergeCell ref="A1:O1"/>
    <mergeCell ref="A2:O2"/>
    <mergeCell ref="A5:O5"/>
    <mergeCell ref="A13:O13"/>
    <mergeCell ref="A21:O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8"/>
  <sheetViews>
    <sheetView zoomScaleNormal="100" workbookViewId="0">
      <pane ySplit="8" topLeftCell="A9" activePane="bottomLeft" state="frozen"/>
      <selection pane="bottomLeft" activeCell="C20" sqref="C20"/>
    </sheetView>
  </sheetViews>
  <sheetFormatPr defaultColWidth="8.6640625" defaultRowHeight="14.4" x14ac:dyDescent="0.3"/>
  <cols>
    <col min="1" max="1" width="6" customWidth="1"/>
    <col min="2" max="2" width="35" customWidth="1"/>
    <col min="3" max="4" width="22" customWidth="1"/>
    <col min="5" max="5" width="18" customWidth="1"/>
  </cols>
  <sheetData>
    <row r="1" spans="1:5" ht="21" x14ac:dyDescent="0.4">
      <c r="A1" s="10" t="s">
        <v>207</v>
      </c>
      <c r="B1" s="10"/>
      <c r="C1" s="10"/>
      <c r="D1" s="10"/>
      <c r="E1" s="10"/>
    </row>
    <row r="2" spans="1:5" x14ac:dyDescent="0.3">
      <c r="A2" s="5" t="s">
        <v>208</v>
      </c>
      <c r="B2" s="5"/>
      <c r="C2" s="5"/>
      <c r="D2" s="5"/>
      <c r="E2" s="5"/>
    </row>
    <row r="4" spans="1:5" x14ac:dyDescent="0.3">
      <c r="A4" s="30" t="s">
        <v>209</v>
      </c>
      <c r="B4" s="31" t="str">
        <f>Продукт!B4</f>
        <v>Шприц 10 мл</v>
      </c>
    </row>
    <row r="5" spans="1:5" x14ac:dyDescent="0.3">
      <c r="A5" s="30" t="s">
        <v>210</v>
      </c>
      <c r="B5" s="31">
        <f>Продукт!B7</f>
        <v>250000000</v>
      </c>
      <c r="C5" t="str">
        <f>Продукт!B6</f>
        <v>литр</v>
      </c>
    </row>
    <row r="6" spans="1:5" x14ac:dyDescent="0.3">
      <c r="A6" s="30" t="s">
        <v>211</v>
      </c>
      <c r="B6" t="str">
        <f>Продукт!B8</f>
        <v>день</v>
      </c>
    </row>
    <row r="8" spans="1:5" ht="39.75" customHeight="1" x14ac:dyDescent="0.3">
      <c r="A8" s="20" t="s">
        <v>60</v>
      </c>
      <c r="B8" s="20" t="s">
        <v>212</v>
      </c>
      <c r="C8" s="20" t="s">
        <v>69</v>
      </c>
      <c r="D8" s="20" t="s">
        <v>213</v>
      </c>
      <c r="E8" s="20" t="s">
        <v>214</v>
      </c>
    </row>
    <row r="9" spans="1:5" x14ac:dyDescent="0.3">
      <c r="A9" s="24">
        <v>1</v>
      </c>
      <c r="B9" s="21" t="s">
        <v>215</v>
      </c>
      <c r="C9" s="27">
        <f>SUMIF(Сырьё!J:J,"&gt;0")</f>
        <v>170.05339090141797</v>
      </c>
      <c r="D9" s="27">
        <f>SUMIF(Сырьё!K:K,"&gt;0")</f>
        <v>42513347725.3545</v>
      </c>
      <c r="E9" s="25">
        <f t="shared" ref="E9:E19" si="0">IFERROR(C9/$C$20,0)</f>
        <v>0.48955921374970585</v>
      </c>
    </row>
    <row r="10" spans="1:5" x14ac:dyDescent="0.3">
      <c r="A10" s="24">
        <v>2</v>
      </c>
      <c r="B10" s="21" t="s">
        <v>216</v>
      </c>
      <c r="C10" s="27">
        <f>SUMIF('Вспом материалы'!J:J,"&gt;0")</f>
        <v>153.995120093542</v>
      </c>
      <c r="D10" s="27">
        <f>SUMIF('Вспом материалы'!K:K,"&gt;0")</f>
        <v>38498780023.385498</v>
      </c>
      <c r="E10" s="25">
        <f t="shared" si="0"/>
        <v>0.44332976552046705</v>
      </c>
    </row>
    <row r="11" spans="1:5" x14ac:dyDescent="0.3">
      <c r="A11" s="24">
        <v>3</v>
      </c>
      <c r="B11" s="21" t="s">
        <v>217</v>
      </c>
      <c r="C11" s="27">
        <f>SUMIF(Упаковка!J:J,"&gt;0")</f>
        <v>23.311698200000002</v>
      </c>
      <c r="D11" s="27">
        <f>SUMIF(Упаковка!K:K,"&gt;0")</f>
        <v>5827924550</v>
      </c>
      <c r="E11" s="25">
        <f t="shared" si="0"/>
        <v>6.7111020729826998E-2</v>
      </c>
    </row>
    <row r="12" spans="1:5" x14ac:dyDescent="0.3">
      <c r="A12" s="24">
        <v>4</v>
      </c>
      <c r="B12" s="21" t="s">
        <v>218</v>
      </c>
      <c r="C12" s="27">
        <f>SUMIF(Комплектующие!J:J,"&gt;0")</f>
        <v>0</v>
      </c>
      <c r="D12" s="27">
        <f>SUMIF(Комплектующие!K:K,"&gt;0")</f>
        <v>0</v>
      </c>
      <c r="E12" s="25">
        <f t="shared" si="0"/>
        <v>0</v>
      </c>
    </row>
    <row r="13" spans="1:5" x14ac:dyDescent="0.3">
      <c r="A13" s="24">
        <v>5</v>
      </c>
      <c r="B13" s="21" t="s">
        <v>219</v>
      </c>
      <c r="C13" s="27">
        <f>SUMIF(Оборудование!J:J,"&gt;0")</f>
        <v>0</v>
      </c>
      <c r="D13" s="27">
        <f>SUMIF(Оборудование!K:K,"&gt;0")</f>
        <v>0</v>
      </c>
      <c r="E13" s="25">
        <f t="shared" si="0"/>
        <v>0</v>
      </c>
    </row>
    <row r="14" spans="1:5" x14ac:dyDescent="0.3">
      <c r="A14" s="24">
        <v>6</v>
      </c>
      <c r="B14" s="21" t="s">
        <v>220</v>
      </c>
      <c r="C14" s="27">
        <f>SUMIF(Оснастка!J:J,"&gt;0")</f>
        <v>0</v>
      </c>
      <c r="D14" s="27">
        <f>SUMIF(Оснастка!K:K,"&gt;0")</f>
        <v>0</v>
      </c>
      <c r="E14" s="25">
        <f t="shared" si="0"/>
        <v>0</v>
      </c>
    </row>
    <row r="15" spans="1:5" x14ac:dyDescent="0.3">
      <c r="A15" s="24">
        <v>7</v>
      </c>
      <c r="B15" s="21" t="s">
        <v>221</v>
      </c>
      <c r="C15" s="27">
        <f>SUMIF(Запчасти!J:J,"&gt;0")</f>
        <v>0</v>
      </c>
      <c r="D15" s="27">
        <f>SUMIF(Запчасти!K:K,"&gt;0")</f>
        <v>0</v>
      </c>
      <c r="E15" s="25">
        <f t="shared" si="0"/>
        <v>0</v>
      </c>
    </row>
    <row r="16" spans="1:5" x14ac:dyDescent="0.3">
      <c r="A16" s="24">
        <v>8</v>
      </c>
      <c r="B16" s="21" t="s">
        <v>222</v>
      </c>
      <c r="C16" s="27">
        <f>SUMIF(Расходники!J:J,"&gt;0")</f>
        <v>0</v>
      </c>
      <c r="D16" s="27">
        <f>SUMIF(Расходники!K:K,"&gt;0")</f>
        <v>0</v>
      </c>
      <c r="E16" s="25">
        <f t="shared" si="0"/>
        <v>0</v>
      </c>
    </row>
    <row r="17" spans="1:5" x14ac:dyDescent="0.3">
      <c r="A17" s="24">
        <v>9</v>
      </c>
      <c r="B17" s="21" t="s">
        <v>223</v>
      </c>
      <c r="C17" s="27">
        <f>SUMIF(Энергоресурсы!J:J,"&gt;0")</f>
        <v>0</v>
      </c>
      <c r="D17" s="27">
        <f>SUMIF(Энергоресурсы!K:K,"&gt;0")</f>
        <v>0</v>
      </c>
      <c r="E17" s="25">
        <f t="shared" si="0"/>
        <v>0</v>
      </c>
    </row>
    <row r="18" spans="1:5" x14ac:dyDescent="0.3">
      <c r="A18" s="24">
        <v>10</v>
      </c>
      <c r="B18" s="21" t="s">
        <v>224</v>
      </c>
      <c r="C18" s="27">
        <f>SUMIF('СИЗ и санитария'!J:J,"&gt;0")</f>
        <v>0</v>
      </c>
      <c r="D18" s="27">
        <f>SUMIF('СИЗ и санитария'!K:K,"&gt;0")</f>
        <v>0</v>
      </c>
      <c r="E18" s="25">
        <f t="shared" si="0"/>
        <v>0</v>
      </c>
    </row>
    <row r="19" spans="1:5" x14ac:dyDescent="0.3">
      <c r="A19" s="24">
        <v>11</v>
      </c>
      <c r="B19" s="21" t="s">
        <v>205</v>
      </c>
      <c r="C19" s="27">
        <f>SUMIF(Прочее!J:J,"&gt;0")</f>
        <v>0</v>
      </c>
      <c r="D19" s="27">
        <f>SUMIF(Прочее!K:K,"&gt;0")</f>
        <v>0</v>
      </c>
      <c r="E19" s="25">
        <f t="shared" si="0"/>
        <v>0</v>
      </c>
    </row>
    <row r="20" spans="1:5" x14ac:dyDescent="0.3">
      <c r="A20" s="29"/>
      <c r="B20" s="29" t="s">
        <v>225</v>
      </c>
      <c r="C20" s="33">
        <f>SUM(C9:C19)</f>
        <v>347.36020919496002</v>
      </c>
      <c r="D20" s="28">
        <f>SUM(D9:D19)</f>
        <v>86840052298.73999</v>
      </c>
      <c r="E20" s="32">
        <f>SUM(E9:E19)</f>
        <v>0.99999999999999989</v>
      </c>
    </row>
    <row r="23" spans="1:5" ht="15.6" x14ac:dyDescent="0.3">
      <c r="A23" s="1" t="s">
        <v>226</v>
      </c>
      <c r="B23" s="1"/>
      <c r="C23" s="1"/>
      <c r="D23" s="1"/>
      <c r="E23" s="1"/>
    </row>
    <row r="24" spans="1:5" x14ac:dyDescent="0.3">
      <c r="A24" s="8" t="s">
        <v>227</v>
      </c>
      <c r="B24" s="8"/>
      <c r="C24" s="8"/>
      <c r="D24" s="8"/>
      <c r="E24" s="8"/>
    </row>
    <row r="25" spans="1:5" x14ac:dyDescent="0.3">
      <c r="A25" s="8" t="s">
        <v>228</v>
      </c>
      <c r="B25" s="8"/>
      <c r="C25" s="8"/>
      <c r="D25" s="8"/>
      <c r="E25" s="8"/>
    </row>
    <row r="26" spans="1:5" x14ac:dyDescent="0.3">
      <c r="A26" s="8" t="s">
        <v>229</v>
      </c>
      <c r="B26" s="8"/>
      <c r="C26" s="8"/>
      <c r="D26" s="8"/>
      <c r="E26" s="8"/>
    </row>
    <row r="27" spans="1:5" x14ac:dyDescent="0.3">
      <c r="A27" s="8" t="s">
        <v>230</v>
      </c>
      <c r="B27" s="8"/>
      <c r="C27" s="8"/>
      <c r="D27" s="8"/>
      <c r="E27" s="8"/>
    </row>
    <row r="28" spans="1:5" x14ac:dyDescent="0.3">
      <c r="A28" s="8" t="s">
        <v>231</v>
      </c>
      <c r="B28" s="8"/>
      <c r="C28" s="8"/>
      <c r="D28" s="8"/>
      <c r="E28" s="8"/>
    </row>
  </sheetData>
  <mergeCells count="8">
    <mergeCell ref="A26:E26"/>
    <mergeCell ref="A27:E27"/>
    <mergeCell ref="A28:E28"/>
    <mergeCell ref="A1:E1"/>
    <mergeCell ref="A2:E2"/>
    <mergeCell ref="A23:E23"/>
    <mergeCell ref="A24:E24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Инструкция</vt:lpstr>
      <vt:lpstr>Продукт</vt:lpstr>
      <vt:lpstr>Лист1</vt:lpstr>
      <vt:lpstr>Сырьё</vt:lpstr>
      <vt:lpstr>Вспом материалы</vt:lpstr>
      <vt:lpstr>Упаковка</vt:lpstr>
      <vt:lpstr>Комплектующие</vt:lpstr>
      <vt:lpstr>Оборудование</vt:lpstr>
      <vt:lpstr>Оснастка</vt:lpstr>
      <vt:lpstr>Запчасти</vt:lpstr>
      <vt:lpstr>Расходники</vt:lpstr>
      <vt:lpstr>Энергоресурсы</vt:lpstr>
      <vt:lpstr>СИЗ и санитария</vt:lpstr>
      <vt:lpstr>Прочее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</cp:lastModifiedBy>
  <cp:revision>0</cp:revision>
  <dcterms:created xsi:type="dcterms:W3CDTF">2026-05-22T13:50:12Z</dcterms:created>
  <dcterms:modified xsi:type="dcterms:W3CDTF">2026-05-25T10:29:58Z</dcterms:modified>
  <dc:language>en-US</dc:language>
</cp:coreProperties>
</file>